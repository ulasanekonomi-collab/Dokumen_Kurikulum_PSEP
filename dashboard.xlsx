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F:\3Darma 2025\O. Kurikulum\Update Kurikulum EP 2025\Hasil\Darft 6\"/>
    </mc:Choice>
  </mc:AlternateContent>
  <xr:revisionPtr revIDLastSave="0" documentId="13_ncr:1_{AEE5E6B5-5ED5-4BF7-9697-833E5C3D7F24}" xr6:coauthVersionLast="47" xr6:coauthVersionMax="47" xr10:uidLastSave="{00000000-0000-0000-0000-000000000000}"/>
  <bookViews>
    <workbookView xWindow="-120" yWindow="-120" windowWidth="29040" windowHeight="15840" firstSheet="1" activeTab="11" xr2:uid="{5708CC55-0F57-4658-B4BD-C440CB3D8525}"/>
  </bookViews>
  <sheets>
    <sheet name="Matrik Stakeholder" sheetId="9" r:id="rId1"/>
    <sheet name="MK Lama" sheetId="4" r:id="rId2"/>
    <sheet name="BK" sheetId="1" r:id="rId3"/>
    <sheet name="CPL BK" sheetId="2" r:id="rId4"/>
    <sheet name="Usulan MK" sheetId="3" r:id="rId5"/>
    <sheet name="Skoring BK" sheetId="6" r:id="rId6"/>
    <sheet name="Monitor" sheetId="5" r:id="rId7"/>
    <sheet name="BK-MK" sheetId="10" r:id="rId8"/>
    <sheet name="Kalkulator SKS" sheetId="12" r:id="rId9"/>
    <sheet name="MK draft" sheetId="7" r:id="rId10"/>
    <sheet name="Dist SMT" sheetId="13" r:id="rId11"/>
    <sheet name="MK INBOUND" sheetId="8" r:id="rId12"/>
  </sheets>
  <definedNames>
    <definedName name="_xlnm._FilterDatabase" localSheetId="7" hidden="1">'BK-MK'!$J$1:$Q$57</definedName>
    <definedName name="_xlnm._FilterDatabase" localSheetId="3" hidden="1">'CPL BK'!$A$1:$D$28</definedName>
    <definedName name="_xlnm._FilterDatabase" localSheetId="8" hidden="1">'Kalkulator SKS'!$A$1:$P$58</definedName>
    <definedName name="_xlnm._FilterDatabase" localSheetId="6" hidden="1">Monitor!$AG$1:$AN$69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04" i="13" l="1"/>
  <c r="J2" i="12"/>
  <c r="M8" i="12"/>
  <c r="M46" i="12"/>
  <c r="M38" i="12"/>
  <c r="M30" i="12"/>
  <c r="M23" i="12"/>
  <c r="M16" i="12"/>
  <c r="M10" i="12"/>
  <c r="M7"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2" i="12"/>
  <c r="M57" i="12"/>
  <c r="J57" i="12"/>
  <c r="K57" i="12" s="1"/>
  <c r="L57" i="12" s="1"/>
  <c r="M56" i="12"/>
  <c r="J56" i="12"/>
  <c r="K56" i="12" s="1"/>
  <c r="L56" i="12" s="1"/>
  <c r="M55" i="12"/>
  <c r="J55" i="12"/>
  <c r="K55" i="12" s="1"/>
  <c r="L55" i="12" s="1"/>
  <c r="M54" i="12"/>
  <c r="J54" i="12"/>
  <c r="K54" i="12" s="1"/>
  <c r="L54" i="12" s="1"/>
  <c r="M53" i="12"/>
  <c r="J53" i="12"/>
  <c r="K53" i="12" s="1"/>
  <c r="L53" i="12" s="1"/>
  <c r="M52" i="12"/>
  <c r="J52" i="12"/>
  <c r="K52" i="12" s="1"/>
  <c r="L52" i="12" s="1"/>
  <c r="M51" i="12"/>
  <c r="J51" i="12"/>
  <c r="K51" i="12" s="1"/>
  <c r="L51" i="12" s="1"/>
  <c r="M50" i="12"/>
  <c r="J50" i="12"/>
  <c r="K50" i="12" s="1"/>
  <c r="L50" i="12" s="1"/>
  <c r="M49" i="12"/>
  <c r="J49" i="12"/>
  <c r="K49" i="12" s="1"/>
  <c r="L49" i="12" s="1"/>
  <c r="M48" i="12"/>
  <c r="J48" i="12"/>
  <c r="K48" i="12" s="1"/>
  <c r="L48" i="12" s="1"/>
  <c r="M47" i="12"/>
  <c r="J47" i="12"/>
  <c r="K47" i="12" s="1"/>
  <c r="L47" i="12" s="1"/>
  <c r="J46" i="12"/>
  <c r="K46" i="12" s="1"/>
  <c r="L46" i="12" s="1"/>
  <c r="M45" i="12"/>
  <c r="J45" i="12"/>
  <c r="K45" i="12" s="1"/>
  <c r="L45" i="12" s="1"/>
  <c r="M44" i="12"/>
  <c r="J44" i="12"/>
  <c r="K44" i="12" s="1"/>
  <c r="L44" i="12" s="1"/>
  <c r="M43" i="12"/>
  <c r="J43" i="12"/>
  <c r="K43" i="12" s="1"/>
  <c r="L43" i="12" s="1"/>
  <c r="M42" i="12"/>
  <c r="J42" i="12"/>
  <c r="K42" i="12" s="1"/>
  <c r="L42" i="12" s="1"/>
  <c r="M41" i="12"/>
  <c r="J41" i="12"/>
  <c r="K41" i="12" s="1"/>
  <c r="L41" i="12" s="1"/>
  <c r="M40" i="12"/>
  <c r="J40" i="12"/>
  <c r="K40" i="12" s="1"/>
  <c r="L40" i="12" s="1"/>
  <c r="M39" i="12"/>
  <c r="J39" i="12"/>
  <c r="K39" i="12" s="1"/>
  <c r="L39" i="12" s="1"/>
  <c r="J38" i="12"/>
  <c r="K38" i="12" s="1"/>
  <c r="L38" i="12" s="1"/>
  <c r="M37" i="12"/>
  <c r="J37" i="12"/>
  <c r="K37" i="12" s="1"/>
  <c r="L37" i="12" s="1"/>
  <c r="M36" i="12"/>
  <c r="J36" i="12"/>
  <c r="K36" i="12" s="1"/>
  <c r="L36" i="12" s="1"/>
  <c r="M35" i="12"/>
  <c r="J35" i="12"/>
  <c r="K35" i="12" s="1"/>
  <c r="L35" i="12" s="1"/>
  <c r="M34" i="12"/>
  <c r="J34" i="12"/>
  <c r="K34" i="12" s="1"/>
  <c r="L34" i="12" s="1"/>
  <c r="M33" i="12"/>
  <c r="J33" i="12"/>
  <c r="K33" i="12" s="1"/>
  <c r="L33" i="12" s="1"/>
  <c r="M32" i="12"/>
  <c r="J32" i="12"/>
  <c r="K32" i="12" s="1"/>
  <c r="L32" i="12" s="1"/>
  <c r="M31" i="12"/>
  <c r="J31" i="12"/>
  <c r="K31" i="12" s="1"/>
  <c r="L31" i="12" s="1"/>
  <c r="J30" i="12"/>
  <c r="K30" i="12" s="1"/>
  <c r="L30" i="12" s="1"/>
  <c r="M29" i="12"/>
  <c r="J29" i="12"/>
  <c r="K29" i="12" s="1"/>
  <c r="L29" i="12" s="1"/>
  <c r="M28" i="12"/>
  <c r="J28" i="12"/>
  <c r="K28" i="12" s="1"/>
  <c r="L28" i="12" s="1"/>
  <c r="M27" i="12"/>
  <c r="J27" i="12"/>
  <c r="K27" i="12" s="1"/>
  <c r="L27" i="12" s="1"/>
  <c r="M26" i="12"/>
  <c r="J26" i="12"/>
  <c r="K26" i="12" s="1"/>
  <c r="L26" i="12" s="1"/>
  <c r="M25" i="12"/>
  <c r="J25" i="12"/>
  <c r="K25" i="12" s="1"/>
  <c r="L25" i="12" s="1"/>
  <c r="M24" i="12"/>
  <c r="J24" i="12"/>
  <c r="K24" i="12" s="1"/>
  <c r="L24" i="12" s="1"/>
  <c r="J23" i="12"/>
  <c r="K23" i="12" s="1"/>
  <c r="L23" i="12" s="1"/>
  <c r="M22" i="12"/>
  <c r="J22" i="12"/>
  <c r="K22" i="12" s="1"/>
  <c r="L22" i="12" s="1"/>
  <c r="M21" i="12"/>
  <c r="J21" i="12"/>
  <c r="K21" i="12" s="1"/>
  <c r="L21" i="12" s="1"/>
  <c r="M20" i="12"/>
  <c r="J20" i="12"/>
  <c r="K20" i="12" s="1"/>
  <c r="L20" i="12" s="1"/>
  <c r="M19" i="12"/>
  <c r="J19" i="12"/>
  <c r="K19" i="12" s="1"/>
  <c r="L19" i="12" s="1"/>
  <c r="M18" i="12"/>
  <c r="J18" i="12"/>
  <c r="K18" i="12" s="1"/>
  <c r="L18" i="12" s="1"/>
  <c r="M17" i="12"/>
  <c r="J17" i="12"/>
  <c r="K17" i="12" s="1"/>
  <c r="L17" i="12" s="1"/>
  <c r="J16" i="12"/>
  <c r="K16" i="12" s="1"/>
  <c r="L16" i="12" s="1"/>
  <c r="M15" i="12"/>
  <c r="J15" i="12"/>
  <c r="K15" i="12" s="1"/>
  <c r="L15" i="12" s="1"/>
  <c r="M14" i="12"/>
  <c r="J14" i="12"/>
  <c r="K14" i="12" s="1"/>
  <c r="L14" i="12" s="1"/>
  <c r="M13" i="12"/>
  <c r="J13" i="12"/>
  <c r="K13" i="12" s="1"/>
  <c r="L13" i="12" s="1"/>
  <c r="M12" i="12"/>
  <c r="J12" i="12"/>
  <c r="K12" i="12" s="1"/>
  <c r="L12" i="12" s="1"/>
  <c r="M11" i="12"/>
  <c r="J11" i="12"/>
  <c r="K11" i="12" s="1"/>
  <c r="L11" i="12" s="1"/>
  <c r="J10" i="12"/>
  <c r="K10" i="12" s="1"/>
  <c r="L10" i="12" s="1"/>
  <c r="M9" i="12"/>
  <c r="J9" i="12"/>
  <c r="K9" i="12" s="1"/>
  <c r="L9" i="12" s="1"/>
  <c r="J8" i="12"/>
  <c r="K8" i="12" s="1"/>
  <c r="L8" i="12" s="1"/>
  <c r="J7" i="12"/>
  <c r="K7" i="12" s="1"/>
  <c r="L7" i="12" s="1"/>
  <c r="M6" i="12"/>
  <c r="J6" i="12"/>
  <c r="K6" i="12" s="1"/>
  <c r="L6" i="12" s="1"/>
  <c r="M5" i="12"/>
  <c r="J5" i="12"/>
  <c r="K5" i="12" s="1"/>
  <c r="L5" i="12" s="1"/>
  <c r="M4" i="12"/>
  <c r="J4" i="12"/>
  <c r="K4" i="12" s="1"/>
  <c r="L4" i="12" s="1"/>
  <c r="M3" i="12"/>
  <c r="J3" i="12"/>
  <c r="K3" i="12" s="1"/>
  <c r="L3" i="12" s="1"/>
  <c r="M2" i="12"/>
  <c r="K2" i="12"/>
  <c r="L2" i="12" s="1"/>
  <c r="X3" i="9"/>
  <c r="X4" i="9"/>
  <c r="X5" i="9"/>
  <c r="U12" i="9"/>
  <c r="C12" i="9"/>
  <c r="D12" i="9"/>
  <c r="E12" i="9"/>
  <c r="F12" i="9"/>
  <c r="G12" i="9"/>
  <c r="H12" i="9"/>
  <c r="I12" i="9"/>
  <c r="J12" i="9"/>
  <c r="K12" i="9"/>
  <c r="L12" i="9"/>
  <c r="M12" i="9"/>
  <c r="N12" i="9"/>
  <c r="O12" i="9"/>
  <c r="P12" i="9"/>
  <c r="Q12" i="9"/>
  <c r="R12" i="9"/>
  <c r="S12" i="9"/>
  <c r="T12" i="9"/>
  <c r="B12" i="9"/>
  <c r="U4" i="9"/>
  <c r="U5" i="9"/>
  <c r="U6" i="9"/>
  <c r="U7" i="9"/>
  <c r="U8" i="9"/>
  <c r="U9" i="9"/>
  <c r="U10" i="9"/>
  <c r="U11" i="9"/>
  <c r="U3" i="9"/>
  <c r="O75" i="7"/>
  <c r="O69" i="7"/>
  <c r="O59" i="7"/>
  <c r="O49" i="7"/>
  <c r="O39" i="7"/>
  <c r="O30" i="7"/>
  <c r="O21" i="7"/>
  <c r="O76" i="7" s="1"/>
  <c r="O11" i="7"/>
  <c r="J75" i="7"/>
  <c r="J69" i="7"/>
  <c r="J59" i="7"/>
  <c r="J49" i="7"/>
  <c r="J39" i="7"/>
  <c r="J30" i="7"/>
  <c r="J21" i="7"/>
  <c r="J11" i="7"/>
  <c r="J76" i="7" s="1"/>
  <c r="AS68" i="5"/>
  <c r="AT68" i="5"/>
  <c r="AU68" i="5"/>
  <c r="AV68" i="5"/>
  <c r="AW68" i="5"/>
  <c r="AX65" i="5"/>
  <c r="AX64" i="5"/>
  <c r="AX63" i="5"/>
  <c r="AX62" i="5"/>
  <c r="AX23" i="5"/>
  <c r="AX60" i="5"/>
  <c r="AX58" i="5"/>
  <c r="AX57" i="5"/>
  <c r="AX56" i="5"/>
  <c r="AX55" i="5"/>
  <c r="AX54" i="5"/>
  <c r="AX53" i="5"/>
  <c r="AX52" i="5"/>
  <c r="AX51" i="5"/>
  <c r="AX50" i="5"/>
  <c r="AX46" i="5"/>
  <c r="AX45" i="5"/>
  <c r="AX44" i="5"/>
  <c r="AX43" i="5"/>
  <c r="AX42" i="5"/>
  <c r="AX40" i="5"/>
  <c r="AX39" i="5"/>
  <c r="AX38" i="5"/>
  <c r="AX37" i="5"/>
  <c r="AX36" i="5"/>
  <c r="AX35" i="5"/>
  <c r="AX34" i="5"/>
  <c r="AX33" i="5"/>
  <c r="AX32" i="5"/>
  <c r="AX31" i="5"/>
  <c r="AX30" i="5"/>
  <c r="AX29" i="5"/>
  <c r="AX28" i="5"/>
  <c r="AX26" i="5"/>
  <c r="AX25" i="5"/>
  <c r="AX24" i="5"/>
  <c r="AX22" i="5"/>
  <c r="AX21" i="5"/>
  <c r="AX20" i="5"/>
  <c r="AX19" i="5"/>
  <c r="AX16" i="5"/>
  <c r="AX15" i="5"/>
  <c r="AX14" i="5"/>
  <c r="AX13" i="5"/>
  <c r="AX12" i="5"/>
  <c r="AX11" i="5"/>
  <c r="AX10" i="5"/>
  <c r="AX9" i="5"/>
  <c r="AX8" i="5"/>
  <c r="AX7" i="5"/>
  <c r="AX6" i="5"/>
  <c r="AX5" i="5"/>
  <c r="AX4" i="5"/>
  <c r="AX3" i="5"/>
  <c r="AX2" i="5"/>
  <c r="AI68" i="5"/>
  <c r="AN3" i="5"/>
  <c r="AN4" i="5"/>
  <c r="AN5" i="5"/>
  <c r="AN6" i="5"/>
  <c r="AN7" i="5"/>
  <c r="AN8" i="5"/>
  <c r="AN9" i="5"/>
  <c r="AN10" i="5"/>
  <c r="AN11" i="5"/>
  <c r="AN12" i="5"/>
  <c r="AN13" i="5"/>
  <c r="AN14" i="5"/>
  <c r="AN15" i="5"/>
  <c r="AN16" i="5"/>
  <c r="AN17" i="5"/>
  <c r="AN18" i="5"/>
  <c r="AN19" i="5"/>
  <c r="AN20" i="5"/>
  <c r="AN21" i="5"/>
  <c r="AN22" i="5"/>
  <c r="AN23" i="5"/>
  <c r="AN24" i="5"/>
  <c r="AN25" i="5"/>
  <c r="AN26" i="5"/>
  <c r="AN27" i="5"/>
  <c r="AN28" i="5"/>
  <c r="AN29" i="5"/>
  <c r="AN30" i="5"/>
  <c r="AN31" i="5"/>
  <c r="AN32" i="5"/>
  <c r="AN33" i="5"/>
  <c r="AN34" i="5"/>
  <c r="AN35" i="5"/>
  <c r="AN36" i="5"/>
  <c r="AN37" i="5"/>
  <c r="AN38" i="5"/>
  <c r="AN39" i="5"/>
  <c r="AN40" i="5"/>
  <c r="AN41" i="5"/>
  <c r="AN42" i="5"/>
  <c r="AN43" i="5"/>
  <c r="AN44" i="5"/>
  <c r="AN45" i="5"/>
  <c r="AN46" i="5"/>
  <c r="AN47" i="5"/>
  <c r="AN48" i="5"/>
  <c r="AN49" i="5"/>
  <c r="AN50" i="5"/>
  <c r="AN51" i="5"/>
  <c r="AN52" i="5"/>
  <c r="AN53" i="5"/>
  <c r="AN54" i="5"/>
  <c r="AN55" i="5"/>
  <c r="AN56" i="5"/>
  <c r="AN57" i="5"/>
  <c r="AN58" i="5"/>
  <c r="AN59" i="5"/>
  <c r="AN60" i="5"/>
  <c r="AN61" i="5"/>
  <c r="AN62" i="5"/>
  <c r="AN63" i="5"/>
  <c r="AN64" i="5"/>
  <c r="AN65" i="5"/>
  <c r="AN66" i="5"/>
  <c r="AN67" i="5"/>
  <c r="AN2" i="5"/>
  <c r="AL68" i="5"/>
  <c r="AM68" i="5"/>
  <c r="AK68" i="5"/>
  <c r="AE68" i="5"/>
  <c r="AD3" i="5"/>
  <c r="AD4" i="5"/>
  <c r="AD5" i="5"/>
  <c r="AD6" i="5"/>
  <c r="AD7" i="5"/>
  <c r="AD8" i="5"/>
  <c r="AD9" i="5"/>
  <c r="AD10" i="5"/>
  <c r="AD11" i="5"/>
  <c r="AD12" i="5"/>
  <c r="AD13" i="5"/>
  <c r="AD14" i="5"/>
  <c r="AD15" i="5"/>
  <c r="AD16" i="5"/>
  <c r="AD17" i="5"/>
  <c r="AD18" i="5"/>
  <c r="AD19" i="5"/>
  <c r="AD20" i="5"/>
  <c r="AD21" i="5"/>
  <c r="AD22" i="5"/>
  <c r="AD23" i="5"/>
  <c r="AD24" i="5"/>
  <c r="AD25" i="5"/>
  <c r="AD26" i="5"/>
  <c r="AD27" i="5"/>
  <c r="AD28" i="5"/>
  <c r="AD29" i="5"/>
  <c r="AD30" i="5"/>
  <c r="AD31" i="5"/>
  <c r="AD32" i="5"/>
  <c r="AD33" i="5"/>
  <c r="AD34" i="5"/>
  <c r="AD35" i="5"/>
  <c r="AD36" i="5"/>
  <c r="AD37" i="5"/>
  <c r="AD38" i="5"/>
  <c r="AD39" i="5"/>
  <c r="AD40" i="5"/>
  <c r="AD41" i="5"/>
  <c r="AD42" i="5"/>
  <c r="AD43" i="5"/>
  <c r="AD44" i="5"/>
  <c r="AD45" i="5"/>
  <c r="AD46" i="5"/>
  <c r="AD47" i="5"/>
  <c r="AD48" i="5"/>
  <c r="AD49" i="5"/>
  <c r="AD50" i="5"/>
  <c r="AD51" i="5"/>
  <c r="AD52" i="5"/>
  <c r="AD53" i="5"/>
  <c r="AD54" i="5"/>
  <c r="AD55" i="5"/>
  <c r="AD56" i="5"/>
  <c r="AD57" i="5"/>
  <c r="AD58" i="5"/>
  <c r="AD59" i="5"/>
  <c r="AD60" i="5"/>
  <c r="AD61" i="5"/>
  <c r="AD62" i="5"/>
  <c r="AD63" i="5"/>
  <c r="AD64" i="5"/>
  <c r="AD65" i="5"/>
  <c r="AD66" i="5"/>
  <c r="AD67" i="5"/>
  <c r="AD2" i="5"/>
  <c r="L54" i="5"/>
  <c r="K54" i="5"/>
  <c r="J54" i="5"/>
  <c r="L53" i="5"/>
  <c r="K53" i="5"/>
  <c r="J53" i="5"/>
  <c r="L52" i="5"/>
  <c r="K52" i="5"/>
  <c r="J52" i="5"/>
  <c r="L51" i="5"/>
  <c r="K51" i="5"/>
  <c r="J51" i="5"/>
  <c r="L50" i="5"/>
  <c r="K50" i="5"/>
  <c r="J50" i="5"/>
  <c r="L49" i="5"/>
  <c r="K49" i="5"/>
  <c r="J49" i="5"/>
  <c r="L48" i="5"/>
  <c r="K48" i="5"/>
  <c r="J48" i="5"/>
  <c r="L47" i="5"/>
  <c r="K47" i="5"/>
  <c r="J47" i="5"/>
  <c r="L17" i="5"/>
  <c r="K17" i="5"/>
  <c r="J17" i="5"/>
  <c r="L16" i="5"/>
  <c r="K16" i="5"/>
  <c r="J16" i="5"/>
  <c r="L15" i="5"/>
  <c r="K15" i="5"/>
  <c r="J15" i="5"/>
  <c r="L14" i="5"/>
  <c r="K14" i="5"/>
  <c r="J14" i="5"/>
  <c r="L13" i="5"/>
  <c r="K13" i="5"/>
  <c r="J13" i="5"/>
  <c r="L12" i="5"/>
  <c r="K12" i="5"/>
  <c r="J12" i="5"/>
  <c r="L11" i="5"/>
  <c r="K11" i="5"/>
  <c r="J11" i="5"/>
  <c r="L10" i="5"/>
  <c r="K10" i="5"/>
  <c r="J10" i="5"/>
  <c r="L9" i="5"/>
  <c r="K9" i="5"/>
  <c r="J9" i="5"/>
  <c r="L67" i="5"/>
  <c r="K67" i="5"/>
  <c r="J67" i="5"/>
  <c r="L56" i="5"/>
  <c r="K56" i="5"/>
  <c r="J56" i="5"/>
  <c r="L32" i="5"/>
  <c r="K32" i="5"/>
  <c r="J32" i="5"/>
  <c r="L31" i="5"/>
  <c r="K31" i="5"/>
  <c r="J31" i="5"/>
  <c r="L30" i="5"/>
  <c r="K30" i="5"/>
  <c r="J30" i="5"/>
  <c r="L8" i="5"/>
  <c r="K8" i="5"/>
  <c r="J8" i="5"/>
  <c r="L7" i="5"/>
  <c r="K7" i="5"/>
  <c r="J7" i="5"/>
  <c r="L6" i="5"/>
  <c r="K6" i="5"/>
  <c r="J6" i="5"/>
  <c r="L5" i="5"/>
  <c r="K5" i="5"/>
  <c r="J5" i="5"/>
  <c r="L4" i="5"/>
  <c r="K4" i="5"/>
  <c r="J4" i="5"/>
  <c r="L3" i="5"/>
  <c r="K3" i="5"/>
  <c r="J3" i="5"/>
  <c r="L2" i="5"/>
  <c r="K2" i="5"/>
  <c r="J2" i="5"/>
  <c r="L55" i="5"/>
  <c r="K55" i="5"/>
  <c r="J55" i="5"/>
  <c r="L28" i="5"/>
  <c r="K28" i="5"/>
  <c r="J28" i="5"/>
  <c r="L27" i="5"/>
  <c r="K27" i="5"/>
  <c r="J27" i="5"/>
  <c r="L26" i="5"/>
  <c r="K26" i="5"/>
  <c r="J26" i="5"/>
  <c r="L25" i="5"/>
  <c r="K25" i="5"/>
  <c r="J25" i="5"/>
  <c r="L24" i="5"/>
  <c r="K24" i="5"/>
  <c r="J24" i="5"/>
  <c r="L29" i="5"/>
  <c r="K29" i="5"/>
  <c r="J29" i="5"/>
  <c r="L65" i="5"/>
  <c r="K65" i="5"/>
  <c r="J65" i="5"/>
  <c r="L64" i="5"/>
  <c r="K64" i="5"/>
  <c r="J64" i="5"/>
  <c r="L63" i="5"/>
  <c r="K63" i="5"/>
  <c r="J63" i="5"/>
  <c r="L62" i="5"/>
  <c r="K62" i="5"/>
  <c r="J62" i="5"/>
  <c r="L61" i="5"/>
  <c r="K61" i="5"/>
  <c r="J61" i="5"/>
  <c r="L60" i="5"/>
  <c r="K60" i="5"/>
  <c r="J60" i="5"/>
  <c r="L59" i="5"/>
  <c r="K59" i="5"/>
  <c r="J59" i="5"/>
  <c r="L58" i="5"/>
  <c r="K58" i="5"/>
  <c r="J58" i="5"/>
  <c r="L40" i="5"/>
  <c r="K40" i="5"/>
  <c r="J40" i="5"/>
  <c r="L39" i="5"/>
  <c r="K39" i="5"/>
  <c r="J39" i="5"/>
  <c r="L38" i="5"/>
  <c r="K38" i="5"/>
  <c r="J38" i="5"/>
  <c r="L37" i="5"/>
  <c r="K37" i="5"/>
  <c r="J37" i="5"/>
  <c r="L36" i="5"/>
  <c r="K36" i="5"/>
  <c r="J36" i="5"/>
  <c r="L35" i="5"/>
  <c r="K35" i="5"/>
  <c r="J35" i="5"/>
  <c r="L34" i="5"/>
  <c r="K34" i="5"/>
  <c r="J34" i="5"/>
  <c r="L57" i="5"/>
  <c r="K57" i="5"/>
  <c r="J57" i="5"/>
  <c r="L46" i="5"/>
  <c r="K46" i="5"/>
  <c r="J46" i="5"/>
  <c r="L45" i="5"/>
  <c r="K45" i="5"/>
  <c r="J45" i="5"/>
  <c r="L44" i="5"/>
  <c r="K44" i="5"/>
  <c r="J44" i="5"/>
  <c r="L43" i="5"/>
  <c r="K43" i="5"/>
  <c r="J43" i="5"/>
  <c r="L42" i="5"/>
  <c r="K42" i="5"/>
  <c r="J42" i="5"/>
  <c r="L41" i="5"/>
  <c r="K41" i="5"/>
  <c r="J41" i="5"/>
  <c r="L33" i="5"/>
  <c r="K33" i="5"/>
  <c r="J33" i="5"/>
  <c r="L23" i="5"/>
  <c r="K23" i="5"/>
  <c r="J23" i="5"/>
  <c r="L22" i="5"/>
  <c r="K22" i="5"/>
  <c r="J22" i="5"/>
  <c r="L21" i="5"/>
  <c r="K21" i="5"/>
  <c r="J21" i="5"/>
  <c r="L20" i="5"/>
  <c r="K20" i="5"/>
  <c r="J20" i="5"/>
  <c r="L19" i="5"/>
  <c r="K19" i="5"/>
  <c r="J19" i="5"/>
  <c r="L18" i="5"/>
  <c r="K18" i="5"/>
  <c r="J18" i="5"/>
  <c r="D9" i="6"/>
  <c r="C9" i="6"/>
  <c r="C10" i="6" s="1"/>
  <c r="B9" i="6"/>
  <c r="B10" i="6" s="1"/>
  <c r="G8" i="6"/>
  <c r="F8" i="6"/>
  <c r="E8" i="6"/>
  <c r="G7" i="6"/>
  <c r="F7" i="6"/>
  <c r="E7" i="6"/>
  <c r="G6" i="6"/>
  <c r="F6" i="6"/>
  <c r="E6" i="6"/>
  <c r="G5" i="6"/>
  <c r="F5" i="6"/>
  <c r="E5" i="6"/>
  <c r="G4" i="6"/>
  <c r="F4" i="6"/>
  <c r="E4" i="6"/>
  <c r="G3" i="6"/>
  <c r="F3" i="6"/>
  <c r="E3" i="6"/>
  <c r="G2" i="6"/>
  <c r="G9" i="6" s="1"/>
  <c r="F2" i="6"/>
  <c r="F9" i="6" s="1"/>
  <c r="E2" i="6"/>
  <c r="E9" i="6" s="1"/>
  <c r="E10" i="6" s="1"/>
  <c r="P9" i="12" l="1"/>
  <c r="O3" i="12"/>
  <c r="O4" i="12"/>
  <c r="P4" i="12" s="1"/>
  <c r="O11" i="12"/>
  <c r="P11" i="12" s="1"/>
  <c r="O56" i="12"/>
  <c r="P56" i="12" s="1"/>
  <c r="O2" i="12"/>
  <c r="P2" i="12" s="1"/>
  <c r="P13" i="12"/>
  <c r="O7" i="12"/>
  <c r="P7" i="12" s="1"/>
  <c r="O15" i="12"/>
  <c r="P15" i="12" s="1"/>
  <c r="O23" i="12"/>
  <c r="P23" i="12" s="1"/>
  <c r="O31" i="12"/>
  <c r="P31" i="12" s="1"/>
  <c r="O39" i="12"/>
  <c r="P39" i="12" s="1"/>
  <c r="O47" i="12"/>
  <c r="P47" i="12" s="1"/>
  <c r="O55" i="12"/>
  <c r="P55" i="12" s="1"/>
  <c r="O13" i="12"/>
  <c r="O21" i="12"/>
  <c r="P21" i="12" s="1"/>
  <c r="O29" i="12"/>
  <c r="P29" i="12" s="1"/>
  <c r="O37" i="12"/>
  <c r="P37" i="12" s="1"/>
  <c r="O45" i="12"/>
  <c r="P45" i="12" s="1"/>
  <c r="O53" i="12"/>
  <c r="P53" i="12" s="1"/>
  <c r="O19" i="12"/>
  <c r="P19" i="12" s="1"/>
  <c r="O27" i="12"/>
  <c r="P27" i="12" s="1"/>
  <c r="O35" i="12"/>
  <c r="P35" i="12" s="1"/>
  <c r="O43" i="12"/>
  <c r="P43" i="12" s="1"/>
  <c r="O51" i="12"/>
  <c r="P51" i="12" s="1"/>
  <c r="O9" i="12"/>
  <c r="O17" i="12"/>
  <c r="P17" i="12" s="1"/>
  <c r="O25" i="12"/>
  <c r="P25" i="12" s="1"/>
  <c r="O33" i="12"/>
  <c r="P33" i="12" s="1"/>
  <c r="O41" i="12"/>
  <c r="P41" i="12" s="1"/>
  <c r="O49" i="12"/>
  <c r="P49" i="12" s="1"/>
  <c r="O57" i="12"/>
  <c r="P57" i="12" s="1"/>
  <c r="P3" i="12"/>
  <c r="P8" i="12"/>
  <c r="O42" i="12"/>
  <c r="P42" i="12" s="1"/>
  <c r="O46" i="12"/>
  <c r="P46" i="12" s="1"/>
  <c r="O50" i="12"/>
  <c r="P50" i="12" s="1"/>
  <c r="O54" i="12"/>
  <c r="P54" i="12" s="1"/>
  <c r="O5" i="12"/>
  <c r="P5" i="12" s="1"/>
  <c r="O10" i="12"/>
  <c r="P10" i="12" s="1"/>
  <c r="O14" i="12"/>
  <c r="P14" i="12" s="1"/>
  <c r="O18" i="12"/>
  <c r="P18" i="12" s="1"/>
  <c r="O30" i="12"/>
  <c r="P30" i="12" s="1"/>
  <c r="O8" i="12"/>
  <c r="O12" i="12"/>
  <c r="P12" i="12" s="1"/>
  <c r="O16" i="12"/>
  <c r="P16" i="12" s="1"/>
  <c r="O20" i="12"/>
  <c r="P20" i="12" s="1"/>
  <c r="O24" i="12"/>
  <c r="P24" i="12" s="1"/>
  <c r="O28" i="12"/>
  <c r="P28" i="12" s="1"/>
  <c r="O32" i="12"/>
  <c r="P32" i="12" s="1"/>
  <c r="O36" i="12"/>
  <c r="P36" i="12" s="1"/>
  <c r="O40" i="12"/>
  <c r="P40" i="12" s="1"/>
  <c r="O44" i="12"/>
  <c r="P44" i="12" s="1"/>
  <c r="O48" i="12"/>
  <c r="P48" i="12" s="1"/>
  <c r="O52" i="12"/>
  <c r="P52" i="12" s="1"/>
  <c r="O6" i="12"/>
  <c r="P6" i="12" s="1"/>
  <c r="O22" i="12"/>
  <c r="P22" i="12" s="1"/>
  <c r="O26" i="12"/>
  <c r="P26" i="12" s="1"/>
  <c r="O34" i="12"/>
  <c r="P34" i="12" s="1"/>
  <c r="O38" i="12"/>
  <c r="P38" i="12" s="1"/>
  <c r="AX68" i="5"/>
  <c r="AV69" i="5" s="1"/>
  <c r="AU69" i="5"/>
  <c r="AW69" i="5"/>
  <c r="AN68" i="5"/>
  <c r="AL69" i="5" s="1"/>
  <c r="F10" i="6"/>
  <c r="G10" i="6"/>
  <c r="D10" i="6"/>
  <c r="P58" i="12" l="1"/>
  <c r="AK69" i="5"/>
  <c r="AM6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1" authorId="0" shapeId="0" xr:uid="{32731F72-05CC-4F4D-BE0F-17CF25F3A233}">
      <text>
        <r>
          <rPr>
            <b/>
            <sz val="9"/>
            <color indexed="81"/>
            <rFont val="Tahoma"/>
            <family val="2"/>
          </rPr>
          <t>Administrator:</t>
        </r>
        <r>
          <rPr>
            <sz val="9"/>
            <color indexed="81"/>
            <rFont val="Tahoma"/>
            <family val="2"/>
          </rPr>
          <t xml:space="preserve">
Bahan Kajian (Subject Matters) berisi pengetahuan dari disiplin ilmu tertentu atau pengetahuan yang dipelajari oleh mahasiswa dan dapat didemonstrasikan oleh mahasiswa (Anderson &amp; Krathwohl, 2001:12-13).</t>
        </r>
      </text>
    </comment>
  </commentList>
</comments>
</file>

<file path=xl/sharedStrings.xml><?xml version="1.0" encoding="utf-8"?>
<sst xmlns="http://schemas.openxmlformats.org/spreadsheetml/2006/main" count="2516" uniqueCount="511">
  <si>
    <t>1. Fondasi Teori Ekonomi</t>
  </si>
  <si>
    <t>(P1)</t>
  </si>
  <si>
    <t>2. Analisis Data &amp; Metodologi</t>
  </si>
  <si>
    <t>(P2 + KK1 + KK3)</t>
  </si>
  <si>
    <t>3. Kebijakan &amp; Pembangunan</t>
  </si>
  <si>
    <t>(P3 + KK2)</t>
  </si>
  <si>
    <t>4. Ekonomi Islam &amp; Etika</t>
  </si>
  <si>
    <t>(P4)</t>
  </si>
  <si>
    <t>5. Inovasi &amp; Kewirausahaan Sosial</t>
  </si>
  <si>
    <t>(KK4)</t>
  </si>
  <si>
    <t>6. Keterampilan Profesional</t>
  </si>
  <si>
    <t>(KU)</t>
  </si>
  <si>
    <t>CPL</t>
  </si>
  <si>
    <t>Bahan Kajian (Subject Matters)</t>
  </si>
  <si>
    <t>Rumpun BK</t>
  </si>
  <si>
    <t>P1</t>
  </si>
  <si>
    <t>Konsep &amp; teori mikro, makro, pembangunan</t>
  </si>
  <si>
    <t>Teori perilaku konsumen &amp; produsen; teori pasar; teori pertumbuhan ekonomi; model pembangunan (klasik–modern)</t>
  </si>
  <si>
    <t>Teori Ekonomi</t>
  </si>
  <si>
    <t>Analisis ekonomi regional &amp; global; dinamika ekonomi makro</t>
  </si>
  <si>
    <t>Ekonomi Regional &amp; Sektoral</t>
  </si>
  <si>
    <t>P2</t>
  </si>
  <si>
    <t>Metodologi &amp; analisis kuantitatif</t>
  </si>
  <si>
    <t>Metodologi penelitian ekonomi; desain penelitian</t>
  </si>
  <si>
    <t>Metodologi &amp; Analisis Data</t>
  </si>
  <si>
    <t>Statistik inferensial; ekonometrika (regresi, causal inference)</t>
  </si>
  <si>
    <t>Big data &amp; digital analytics</t>
  </si>
  <si>
    <t>P3</t>
  </si>
  <si>
    <t>Kebijakan, syariah, sustainability</t>
  </si>
  <si>
    <t>Teori kebijakan publik; policy cycle</t>
  </si>
  <si>
    <t>Ekonomi Pembangunan &amp; Kebijakan</t>
  </si>
  <si>
    <t>Ekonomi syariah (maqashid, distribusi, keuangan sosial Islam)</t>
  </si>
  <si>
    <t>Ekonomi Islam &amp; Etika</t>
  </si>
  <si>
    <t>Ekonomi lingkungan; pembangunan berkelanjutan; green economy</t>
  </si>
  <si>
    <t>Ekonomi Lingkungan &amp; Keberlanjutan</t>
  </si>
  <si>
    <t>P4</t>
  </si>
  <si>
    <t>Etika &amp; nilai ekonomi</t>
  </si>
  <si>
    <t>Filsafat ekonomi Islam; etika ekonomi</t>
  </si>
  <si>
    <t>Keadilan distributif; governance &amp; akuntabilitas</t>
  </si>
  <si>
    <t>KK1</t>
  </si>
  <si>
    <t>Analisis masalah sosial ekonomi</t>
  </si>
  <si>
    <t>Problem structuring ekonomi; analytical framework</t>
  </si>
  <si>
    <t>Teknik analisis kuantitatif terapan</t>
  </si>
  <si>
    <t>KK2</t>
  </si>
  <si>
    <t>Desain &amp; evaluasi kebijakan</t>
  </si>
  <si>
    <t>Policy formulation; cost-benefit analysis</t>
  </si>
  <si>
    <t>Impact evaluation; evidence-based policy</t>
  </si>
  <si>
    <t>KK3</t>
  </si>
  <si>
    <t>Penelitian terapan</t>
  </si>
  <si>
    <t>Research design; validitas &amp; reliabilitas</t>
  </si>
  <si>
    <t>Penulisan ilmiah; publikasi akademik</t>
  </si>
  <si>
    <t>KK4</t>
  </si>
  <si>
    <t>Inovasi &amp; kewirausahaan sosial</t>
  </si>
  <si>
    <t>Social entrepreneurship; model bisnis sosial</t>
  </si>
  <si>
    <t>Inovasi &amp; Kewirausahaan Sosial</t>
  </si>
  <si>
    <t>Innovation system; ekonomi digital</t>
  </si>
  <si>
    <t>Pengembangan ekonomi lokal berbasis komunitas</t>
  </si>
  <si>
    <t>KU1</t>
  </si>
  <si>
    <t>Berpikir kritis &amp; komunikasi ilmiah</t>
  </si>
  <si>
    <t>Logika ilmiah; critical thinking</t>
  </si>
  <si>
    <t>Teknik komunikasi ilmiah (writing &amp; presentation)</t>
  </si>
  <si>
    <t>KU2</t>
  </si>
  <si>
    <t>Kolaborasi &amp; kepemimpinan</t>
  </si>
  <si>
    <t>Teamwork dynamics; leadership dasar</t>
  </si>
  <si>
    <t>KU3</t>
  </si>
  <si>
    <t>Pengambilan keputusan berbasis data</t>
  </si>
  <si>
    <t>Decision analysis; data interpretation</t>
  </si>
  <si>
    <t>KU4</t>
  </si>
  <si>
    <t>Pemanfaatan teknologi &amp; lifelong learning</t>
  </si>
  <si>
    <t>Literasi digital; tools analisis ekonomi</t>
  </si>
  <si>
    <t>S1–S4</t>
  </si>
  <si>
    <t>Nilai Islam, etika, kemaslahatan</t>
  </si>
  <si>
    <t>Maqashid al-shariah dalam ekonomi</t>
  </si>
  <si>
    <t>Etika kebijakan publik</t>
  </si>
  <si>
    <t>Sustainability ethics</t>
  </si>
  <si>
    <t>Mata Kuliah</t>
  </si>
  <si>
    <t>Bahan Kajian</t>
  </si>
  <si>
    <t>Sejarah Pemikiran Ekonomi</t>
  </si>
  <si>
    <t>Matematika Ekonomi</t>
  </si>
  <si>
    <t>Statistika Ekonomi</t>
  </si>
  <si>
    <t>Metode Penelitian</t>
  </si>
  <si>
    <t>Indonesian Economy Modelling</t>
  </si>
  <si>
    <t>Creative Thinking &amp; Analytical Data</t>
  </si>
  <si>
    <t>Ekonomi Pembangunan</t>
  </si>
  <si>
    <t>Perencanaan Pembangunan</t>
  </si>
  <si>
    <t>Kebijakan Pembangunan</t>
  </si>
  <si>
    <t>Ekonomi Publik</t>
  </si>
  <si>
    <t>Ekonomi Regional</t>
  </si>
  <si>
    <t>Ekonomi Kependudukan &amp; SDM</t>
  </si>
  <si>
    <t>Ekonomi Islam</t>
  </si>
  <si>
    <t>Fiqih Muamalat</t>
  </si>
  <si>
    <t>Ushul Fiqh Rekayasa Keuangan</t>
  </si>
  <si>
    <t>Lembaga Keuangan Islam</t>
  </si>
  <si>
    <t>Akuntansi LKS</t>
  </si>
  <si>
    <t>Manajemen Wakaf &amp; Zakat</t>
  </si>
  <si>
    <t>Etika Bisnis Islam</t>
  </si>
  <si>
    <t>Ekonomi Moneter</t>
  </si>
  <si>
    <t>Ekonomi Internasional</t>
  </si>
  <si>
    <t>Ekonomi Industri</t>
  </si>
  <si>
    <t>Ekonomi SDA &amp; Lingkungan</t>
  </si>
  <si>
    <t>Ekonomi Digital &amp; Platform</t>
  </si>
  <si>
    <t>Behavioral Economics</t>
  </si>
  <si>
    <t>Ekonomi Manajerial</t>
  </si>
  <si>
    <t>Studi Kelayakan</t>
  </si>
  <si>
    <t>Manajemen Keuangan</t>
  </si>
  <si>
    <t>Kewirausahaan</t>
  </si>
  <si>
    <t>Ekonomi Politik &amp; Kelembagaan</t>
  </si>
  <si>
    <t>Law &amp; Economics</t>
  </si>
  <si>
    <t>Komunikasi Ilmiah</t>
  </si>
  <si>
    <t>Metode Pengambilan Keputusan</t>
  </si>
  <si>
    <t>Lab IT</t>
  </si>
  <si>
    <t>Bahasa Indonesia</t>
  </si>
  <si>
    <t>Seminar</t>
  </si>
  <si>
    <t>Skripsi</t>
  </si>
  <si>
    <t>S</t>
  </si>
  <si>
    <t>Islam Disiplin Ilmu</t>
  </si>
  <si>
    <t>Keywords CPL</t>
  </si>
  <si>
    <t>Kompetensi</t>
  </si>
  <si>
    <t>Kompetensi Inti Keilmuan</t>
  </si>
  <si>
    <t>Pengantar Ekonomi Mikro</t>
  </si>
  <si>
    <t>Pengantar Ekonomi Makro</t>
  </si>
  <si>
    <t>Teori Ekonomi Mikro 1</t>
  </si>
  <si>
    <t>Teori Ekonomi Makro 1</t>
  </si>
  <si>
    <t>Teori Ekonomi Mikro II</t>
  </si>
  <si>
    <t>Teori Ekonomi Makro II</t>
  </si>
  <si>
    <t>Kompetensi Kuantitatif</t>
  </si>
  <si>
    <t>Matematika Ekonomi Lanjutan</t>
  </si>
  <si>
    <t>Statistika Ekonomi Lanjutan</t>
  </si>
  <si>
    <t>Ekonometrika 1</t>
  </si>
  <si>
    <t>Ekonometrika Lanjutan</t>
  </si>
  <si>
    <t>Kompetensi Kekhususan Dasar</t>
  </si>
  <si>
    <t>Kompetensi Keahlian</t>
  </si>
  <si>
    <t>Akuntansi Lembaga Keuangan Syariah</t>
  </si>
  <si>
    <t>LEMBAGA KEUANGAN ISLAM</t>
  </si>
  <si>
    <t>Komunikasi Pembangunan</t>
  </si>
  <si>
    <t>Komunikasi Bisnis</t>
  </si>
  <si>
    <t>Ekonomi Politik dan Kelembagaan</t>
  </si>
  <si>
    <t>Manajemen Risiko Lembaga Keuangan</t>
  </si>
  <si>
    <t>Manajemen Wakaf dan Zakat</t>
  </si>
  <si>
    <t>Ekonomi Perdesaan</t>
  </si>
  <si>
    <t>Ekonomi Perkotaan</t>
  </si>
  <si>
    <t>creative thinking and analitycal data</t>
  </si>
  <si>
    <t>Manajemen keuangan dan analisis investasi</t>
  </si>
  <si>
    <t>Industri Perbankan dan LKNB</t>
  </si>
  <si>
    <t>Analisis Pembiayaan Lembaga Keuangan</t>
  </si>
  <si>
    <t>rantai nilai dan keberlanjutan usaha</t>
  </si>
  <si>
    <t>Digital Marketing</t>
  </si>
  <si>
    <t>SEMINAR KMMB</t>
  </si>
  <si>
    <t>Skripsi / Karya Tulis Ilmiah</t>
  </si>
  <si>
    <t>Kompetensi Penunjang</t>
  </si>
  <si>
    <t>Pancasila</t>
  </si>
  <si>
    <t>Pend. Kewarganegaraan</t>
  </si>
  <si>
    <t>Pengantar Akuntansi</t>
  </si>
  <si>
    <t>Lab Informasi dan Teknologi</t>
  </si>
  <si>
    <t>Pengantar Bisnis</t>
  </si>
  <si>
    <t>Manajemen</t>
  </si>
  <si>
    <t>Sosiologi dan Antropologi</t>
  </si>
  <si>
    <t>Bahasa Inggris</t>
  </si>
  <si>
    <t>Lab Bahasa Inggris</t>
  </si>
  <si>
    <t>Kompetensi ciri khas PT</t>
  </si>
  <si>
    <t>Aqidah</t>
  </si>
  <si>
    <t>Pesantren</t>
  </si>
  <si>
    <t>Akhlak</t>
  </si>
  <si>
    <t>Sejarah Perkembangan Islam</t>
  </si>
  <si>
    <t>Peradaban Islam</t>
  </si>
  <si>
    <t>No</t>
  </si>
  <si>
    <t>Substansi Kajian</t>
  </si>
  <si>
    <t>CPL Terkait</t>
  </si>
  <si>
    <t>Fondasi Teori Ekonomi Pembangunan</t>
  </si>
  <si>
    <t>Teori mikro, makro, dan pembangunan; teori pertumbuhan; indikator pembangunan</t>
  </si>
  <si>
    <t>Analisis Data dan Metodologi Ekonomi</t>
  </si>
  <si>
    <t>Metode penelitian; statistik; ekonometrika; data analytics</t>
  </si>
  <si>
    <t>P2, KK1, KK3, KU3, KU4</t>
  </si>
  <si>
    <t>Analisis Masalah Pembangunan dan Kebijakan</t>
  </si>
  <si>
    <t>Kebijakan publik; evaluasi kebijakan; perencanaan pembangunan</t>
  </si>
  <si>
    <t>P3, KK2, KU3</t>
  </si>
  <si>
    <t>Ekonomi Islam dan Etika Pembangunan</t>
  </si>
  <si>
    <t>Maqashid al-shariah; fiqih muamalat; etika ekonomi; keuangan sosial Islam</t>
  </si>
  <si>
    <t>P4, S1–S4, KK2</t>
  </si>
  <si>
    <t>Ekonomi Lingkungan dan Keberlanjutan</t>
  </si>
  <si>
    <t>Ekonomi SDA; eksternalitas; pembangunan berkelanjutan</t>
  </si>
  <si>
    <t>P3, KK2, S2</t>
  </si>
  <si>
    <t>Ekonomi Regional dan Sektoral</t>
  </si>
  <si>
    <t>Ekonomi regional; perdesaan; perkotaan; struktur sektor</t>
  </si>
  <si>
    <t>P3, KK1, KK4</t>
  </si>
  <si>
    <t>Inovasi dan Kewirausahaan Sosial</t>
  </si>
  <si>
    <t>Social entrepreneurship; inovasi; ekonomi digital</t>
  </si>
  <si>
    <t>KK4, KU2, KU3, S4</t>
  </si>
  <si>
    <t>Mata Kuliah Eksisting</t>
  </si>
  <si>
    <t>MK Usulan</t>
  </si>
  <si>
    <t>Analisis Pembiayaan LK</t>
  </si>
  <si>
    <t>*Ekonomi Digital &amp; Platform</t>
  </si>
  <si>
    <t>*Law &amp; Economics</t>
  </si>
  <si>
    <t>*Behavioral Economics</t>
  </si>
  <si>
    <t>*Komunikasi Ilmiah</t>
  </si>
  <si>
    <t>Manajemen Risiko LK</t>
  </si>
  <si>
    <t>Statement Bahan Kajian</t>
  </si>
  <si>
    <t>Bahan Kajian Utama</t>
  </si>
  <si>
    <t>Bahan Kajian Pendukung</t>
  </si>
  <si>
    <t>Fondasi Teori Ekonomi</t>
  </si>
  <si>
    <t>-</t>
  </si>
  <si>
    <t>Analisis Kebijakan</t>
  </si>
  <si>
    <t>Etika Ekonomi</t>
  </si>
  <si>
    <t>Inovasi</t>
  </si>
  <si>
    <t>Analisis Pembangunan &amp; Kebijakan</t>
  </si>
  <si>
    <t>Etika</t>
  </si>
  <si>
    <t>Data</t>
  </si>
  <si>
    <t>Analisis Data</t>
  </si>
  <si>
    <t>Kebijakan</t>
  </si>
  <si>
    <t>Semua BK</t>
  </si>
  <si>
    <t>Sosiologi &amp; Antropologi</t>
  </si>
  <si>
    <t>Pendidikan Kewarganegaraan</t>
  </si>
  <si>
    <t>Nomor</t>
  </si>
  <si>
    <t>SKS</t>
  </si>
  <si>
    <t>Semester</t>
  </si>
  <si>
    <t>Manajemen Keuangan &amp; Analisis Investasi</t>
  </si>
  <si>
    <t>Skor S</t>
  </si>
  <si>
    <t>Skor P</t>
  </si>
  <si>
    <t>Skor K</t>
  </si>
  <si>
    <t>S (Auto)</t>
  </si>
  <si>
    <t>P (Auto)</t>
  </si>
  <si>
    <t>K (Auto)</t>
  </si>
  <si>
    <t>P</t>
  </si>
  <si>
    <t>K</t>
  </si>
  <si>
    <t>C</t>
  </si>
  <si>
    <t>A</t>
  </si>
  <si>
    <t>T</t>
  </si>
  <si>
    <t>Score</t>
  </si>
  <si>
    <t>Materi</t>
  </si>
  <si>
    <t>Praktik</t>
  </si>
  <si>
    <t>Tugas</t>
  </si>
  <si>
    <t>CAT</t>
  </si>
  <si>
    <t>Ekonomi Regional &amp; Spasial</t>
  </si>
  <si>
    <t>Ekonomi &amp; Kebijakan Pembangunan</t>
  </si>
  <si>
    <t>Industri Keuangan (Islam &amp; Konvensional)</t>
  </si>
  <si>
    <t>Sejarah Sosial Ekonomi</t>
  </si>
  <si>
    <t>Seminar Usulan Penitian Skripsi</t>
  </si>
  <si>
    <t>Kode</t>
  </si>
  <si>
    <t>Studi Kelayakan &amp; Manajemen Risiko</t>
  </si>
  <si>
    <t>Kode Mata Kuliah</t>
  </si>
  <si>
    <t>Nama Mata Kuliah / Course Title</t>
  </si>
  <si>
    <t>Seminar Usulan Penelitian Skripsi</t>
  </si>
  <si>
    <t>SEMESTER 1</t>
  </si>
  <si>
    <t>SEMESTER 2</t>
  </si>
  <si>
    <t>SEMESTER 3</t>
  </si>
  <si>
    <t>SEMESTER 4</t>
  </si>
  <si>
    <t>SEMESTER 5</t>
  </si>
  <si>
    <t>SEMESTER 6</t>
  </si>
  <si>
    <t>SEMESTER 7</t>
  </si>
  <si>
    <t>SEMESTER 8</t>
  </si>
  <si>
    <t>PAI 1 (Aqidah)</t>
  </si>
  <si>
    <t xml:space="preserve">Pendidikan Kewarganegaraan </t>
  </si>
  <si>
    <t>PAI 2 (Pesantren)</t>
  </si>
  <si>
    <t>PAI 3 (Fiqih Muamalat)</t>
  </si>
  <si>
    <t>PAI 4 (Akhlak)</t>
  </si>
  <si>
    <t>PAI 5 (Sejarah Peradaban Islam)</t>
  </si>
  <si>
    <t>PAI 6 (Pemikiran Islam)</t>
  </si>
  <si>
    <t>PAI 7 (Islam Disiplin Ilmu)</t>
  </si>
  <si>
    <t>20 April Jam 08.30</t>
  </si>
  <si>
    <t>20 Apri jam 11.30</t>
  </si>
  <si>
    <t>Pengantar Ekonomi Mikro / Introduction to Microeconomics</t>
  </si>
  <si>
    <t>Pengantar Ekonomi Makro / Introduction to Macroeconomics</t>
  </si>
  <si>
    <t>Pengantar Bisnis / Introduction to Business</t>
  </si>
  <si>
    <t>Matematika Ekonomi / Mathematical Economics</t>
  </si>
  <si>
    <t>Bahasa Indonesia / Indonesian Language</t>
  </si>
  <si>
    <t>PAI 1 (Aqidah) / Islamic Studies 1 (Islamic Creed)</t>
  </si>
  <si>
    <t>Pendidikan Kewarganegaraan / Civic Education</t>
  </si>
  <si>
    <t>Pancasila / Pancasila</t>
  </si>
  <si>
    <t>PAI 2 (Pesantren) / Islamic Studies 2 (Pesantren Studies)</t>
  </si>
  <si>
    <t>Statistika Ekonomi / Economic Statistics</t>
  </si>
  <si>
    <t>Pengantar Akuntansi / Introduction to Accounting</t>
  </si>
  <si>
    <t>Matematika Ekonomi Lanjutan / Advanced Mathematical Economics</t>
  </si>
  <si>
    <t>PAI 3 (Fiqih Muamalat) / Islamic Studies 3 (Islamic Commercial Jurisprudence)</t>
  </si>
  <si>
    <t>Teori Ekonomi Mikro 1 / Microeconomic Theory I</t>
  </si>
  <si>
    <t>Teori Ekonomi Makro 1 / Macroeconomic Theory I</t>
  </si>
  <si>
    <t>Akuntansi LKS / Islamic Financial Accounting</t>
  </si>
  <si>
    <t>Ekonomi &amp; Kebijakan Pembangunan / Development Economics and Policy</t>
  </si>
  <si>
    <t>Sejarah Sosial Ekonomi / Socio-Economic History</t>
  </si>
  <si>
    <t>Lembaga Keuangan Islam / Islamic Financial Institutions</t>
  </si>
  <si>
    <t>PAI 4 (Akhlak) / Islamic Studies 4 (Islamic Ethics)</t>
  </si>
  <si>
    <t>Teori Ekonomi Mikro II / Microeconomic Theory II</t>
  </si>
  <si>
    <t>Teori Ekonomi Makro II / Macroeconomic Theory II</t>
  </si>
  <si>
    <t>Ekonometrika 1 / Econometrics I</t>
  </si>
  <si>
    <t>Ekonomi Publik / Public Economics</t>
  </si>
  <si>
    <t>Ekonomi Regional &amp; Spasial / Regional and Spatial Economics</t>
  </si>
  <si>
    <t>Creative Thinking &amp; Analytical Data / Creative Thinking and Data Analytics</t>
  </si>
  <si>
    <t>PAI 5 (Sejarah Peradaban Islam) / Islamic Studies 5 (History of Islamic Civilization)</t>
  </si>
  <si>
    <t>Ekonometrika Lanjutan / Advanced Econometrics</t>
  </si>
  <si>
    <t>Metode Penelitian / Research Methods</t>
  </si>
  <si>
    <t>Ekonomi Moneter / Monetary Economics</t>
  </si>
  <si>
    <t>Ekonomi Internasional / International Economics</t>
  </si>
  <si>
    <t>Ekonomi Kependudukan &amp; SDM / Population and Human Resource Economics</t>
  </si>
  <si>
    <t>Ekonomi SDA &amp; Lingkungan / Natural Resource and Environmental Economics</t>
  </si>
  <si>
    <t>Industri Keuangan (Islam &amp; Konvensional) / Financial Industry (Islamic and Conventional)</t>
  </si>
  <si>
    <t>PAI 6 (Pemikiran Islam) / Islamic Studies 6 (Islamic Thought)</t>
  </si>
  <si>
    <t>Perencanaan Pembangunan / Development Planning</t>
  </si>
  <si>
    <t>Ekonomi Politik &amp; Kelembagaan / Political and Institutional Economics</t>
  </si>
  <si>
    <t>Ekonomi Industri / Industrial Economics</t>
  </si>
  <si>
    <t>Ekonomi Islam / Islamic Economics</t>
  </si>
  <si>
    <t>Manajemen Keuangan &amp; Analisis Investasi / Financial Management and Investment Analysis</t>
  </si>
  <si>
    <t>Ekonomi Manajerial / Managerial Economics</t>
  </si>
  <si>
    <t>PAI 7 (Islam Disiplin Ilmu) / Islamic Studies 7 (Islamization of Knowledge)</t>
  </si>
  <si>
    <t>Law &amp; Economics / Law and Economics</t>
  </si>
  <si>
    <t>Metode Pengambilan Keputusan / Decision-Making Methods</t>
  </si>
  <si>
    <t>Kewirausahaan / Entrepreneurship</t>
  </si>
  <si>
    <t>Ekonomi Digital &amp; Platform / Digital and Platform Economics</t>
  </si>
  <si>
    <t>Behavioral Economics / Behavioral Economics</t>
  </si>
  <si>
    <t>Studi Kelayakan &amp; Manajemen Risiko / Feasibility Study and Risk Management</t>
  </si>
  <si>
    <t>Manajemen Wakaf &amp; Zakat / Waqf and Zakat Management</t>
  </si>
  <si>
    <t>Etika Bisnis Islam / Islamic Business Ethics</t>
  </si>
  <si>
    <t>Ushul Fiqh Rekayasa Keuangan / Usul al-Fiqh for Financial Engineering</t>
  </si>
  <si>
    <t>Seminar Usulan Penelitian Skripsi / Undergraduate Thesis Proposal Seminar</t>
  </si>
  <si>
    <t>Skripsi / Undergraduate Thesis</t>
  </si>
  <si>
    <t>Satuan Kredit Semester/Credit</t>
  </si>
  <si>
    <t>SEMESTER VII/SEVENTH SEMESTER</t>
  </si>
  <si>
    <t>SEMESTER VIII/EIGHTH SEMESTER</t>
  </si>
  <si>
    <t>SEMESTER VI/SIXTH SEMESTER</t>
  </si>
  <si>
    <t>SEMESTER IV/FOURTH SEMESTER</t>
  </si>
  <si>
    <t>SEMESTER V/FIFTH SEMESTER</t>
  </si>
  <si>
    <t>SEMESTER III/THIRD SEMESTER</t>
  </si>
  <si>
    <t>SEMESTER II/SECOND SEMESTER</t>
  </si>
  <si>
    <t>SEMESTER I/FIRST SEMESTER</t>
  </si>
  <si>
    <t>Total SKS/Credit Totals</t>
  </si>
  <si>
    <t>English for Economics / English for Economics</t>
  </si>
  <si>
    <t>LAMPIRAN</t>
  </si>
  <si>
    <t>PROGRAM STUDI EKONOMI PEMBANGUNAN (PSEP)</t>
  </si>
  <si>
    <t>Program Studi/Fakultas Asal</t>
  </si>
  <si>
    <t>Nama Mata Kuliah</t>
  </si>
  <si>
    <t>Semester Rekomendasi</t>
  </si>
  <si>
    <t>Prasyarat</t>
  </si>
  <si>
    <t>Konversi ke MK PSEP</t>
  </si>
  <si>
    <t>CPL yang Didukung</t>
  </si>
  <si>
    <t>Keterangan</t>
  </si>
  <si>
    <t>Ilmu Hukum</t>
  </si>
  <si>
    <t>Hukum Bisnis</t>
  </si>
  <si>
    <t>5–6</t>
  </si>
  <si>
    <t>Pilihan/MBKM</t>
  </si>
  <si>
    <t>KU, KK</t>
  </si>
  <si>
    <t>Mendukung analisis regulasi ekonomi</t>
  </si>
  <si>
    <t>Hukum Administrasi Negara</t>
  </si>
  <si>
    <t>KU</t>
  </si>
  <si>
    <t>Relevan untuk kebijakan publik</t>
  </si>
  <si>
    <t>Manajemen Pemasaran</t>
  </si>
  <si>
    <t>Pilihan</t>
  </si>
  <si>
    <t>KK</t>
  </si>
  <si>
    <t>Mendukung kewirausahaan</t>
  </si>
  <si>
    <t>Manajemen Operasional</t>
  </si>
  <si>
    <t>Relevan untuk efisiensi produksi</t>
  </si>
  <si>
    <t>Akuntansi</t>
  </si>
  <si>
    <t>Analisis Laporan Keuangan</t>
  </si>
  <si>
    <t>Konversi: Manajemen Keuangan</t>
  </si>
  <si>
    <t>Pendalaman analisis keuangan</t>
  </si>
  <si>
    <t>Teknik Informatika</t>
  </si>
  <si>
    <t>Pengantar Data Science</t>
  </si>
  <si>
    <t>Mendukung analisis data ekonomi</t>
  </si>
  <si>
    <t>Sistem Informasi Manajemen</t>
  </si>
  <si>
    <t>Mendukung pengolahan informasi</t>
  </si>
  <si>
    <t>Teknik Industri</t>
  </si>
  <si>
    <t>Manajemen Proyek</t>
  </si>
  <si>
    <t>Relevan untuk studi kelayakan</t>
  </si>
  <si>
    <t>Psikologi</t>
  </si>
  <si>
    <t>Psikologi Sosial</t>
  </si>
  <si>
    <t>4–5</t>
  </si>
  <si>
    <t>S, KU</t>
  </si>
  <si>
    <t>Memperkuat analisis perilaku</t>
  </si>
  <si>
    <t>Psikologi Konsumen</t>
  </si>
  <si>
    <t>Relevan untuk behavioral economics</t>
  </si>
  <si>
    <t>Ilmu Komunikasi</t>
  </si>
  <si>
    <t>Komunikasi Publik</t>
  </si>
  <si>
    <t>Mendukung komunikasi kebijakan</t>
  </si>
  <si>
    <t>Relevan untuk kewirausahaan</t>
  </si>
  <si>
    <t>Administrasi Publik</t>
  </si>
  <si>
    <t>Manajemen Kebijakan Publik</t>
  </si>
  <si>
    <t>Konversi: Ekonomi Publik</t>
  </si>
  <si>
    <t>Integrasi kebijakan &amp; ekonomi</t>
  </si>
  <si>
    <t>6–7</t>
  </si>
  <si>
    <t>Konversi: Ekonomi Pembangunan</t>
  </si>
  <si>
    <t>Analisis berbasis data</t>
  </si>
  <si>
    <t>Perencanaan Wilayah &amp; Kota</t>
  </si>
  <si>
    <t>Perencanaan Wilayah</t>
  </si>
  <si>
    <t>Konversi: Ekonomi Regional</t>
  </si>
  <si>
    <t>Pendalaman aspek spasial</t>
  </si>
  <si>
    <t>Analisis Tata Ruang</t>
  </si>
  <si>
    <t>Relevan untuk pembangunan daerah</t>
  </si>
  <si>
    <r>
      <t>CONTOH DAFTAR MATA KULIAH LINTAS PROGRAM STUDI (</t>
    </r>
    <r>
      <rPr>
        <b/>
        <i/>
        <sz val="11"/>
        <color theme="1"/>
        <rFont val="Calibri"/>
        <family val="2"/>
        <scheme val="minor"/>
      </rPr>
      <t>INBOUND</t>
    </r>
    <r>
      <rPr>
        <b/>
        <sz val="11"/>
        <color theme="1"/>
        <rFont val="Calibri"/>
        <family val="2"/>
        <charset val="1"/>
        <scheme val="minor"/>
      </rPr>
      <t>)</t>
    </r>
  </si>
  <si>
    <t>Sikap</t>
  </si>
  <si>
    <t>Pengetahuan</t>
  </si>
  <si>
    <t>Keterampilan</t>
  </si>
  <si>
    <t>Total</t>
  </si>
  <si>
    <t>SKOR SKP</t>
  </si>
  <si>
    <t>Menganalisis, mengevaluasi, dan mensintesis teori ekonomi untuk menjelaskan fenomena pembangunan secara komprehensif, serta menginterpretasikan indikator ekonomi sebagai dasar pengambilan keputusan.</t>
  </si>
  <si>
    <t>Merancang penelitian, mengelola dan menganalisis data ekonomi secara sistematis, serta menghasilkan inferensi dan rekomendasi berbasis bukti untuk mendukung pengambilan keputusan.</t>
  </si>
  <si>
    <t>Mengidentifikasi, menganalisis, dan mengevaluasi permasalahan pembangunan, serta merumuskan alternatif kebijakan berbasis data dan bukti empiris.</t>
  </si>
  <si>
    <t>Menganalisis dan mengintegrasikan nilai-nilai Islam dan etika dalam pengambilan keputusan ekonomi, serta mengevaluasi kebijakan pembangunan berdasarkan prinsip keadilan dan kemaslahatan.</t>
  </si>
  <si>
    <t>Menganalisis keterkaitan ekonomi dan lingkungan secara sistemik, serta merancang solusi pembangunan berkelanjutan berbasis pendekatan ilmiah dan data.</t>
  </si>
  <si>
    <t>Menganalisis dinamika ekonomi wilayah dan sektor secara komprehensif, serta merumuskan strategi pembangunan berbasis potensi lokal dan data empiris.</t>
  </si>
  <si>
    <t>Mengembangkan dan mengevaluasi solusi inovatif berbasis kewirausahaan sosial untuk menjawab permasalahan pembangunan secara kreatif dan berkelanjutan.</t>
  </si>
  <si>
    <t>P1, KU1, KK1</t>
  </si>
  <si>
    <t>Rumpun / Bahan Kajian (PBK)</t>
  </si>
  <si>
    <t>Mata Kuliah Pengampu</t>
  </si>
  <si>
    <t>CPL Sikap (S)</t>
  </si>
  <si>
    <t>CPL Pengetahuan (P)</t>
  </si>
  <si>
    <t>CPL (KU)</t>
  </si>
  <si>
    <t>CPL (KK)</t>
  </si>
  <si>
    <t>Peran Bahan Kajian</t>
  </si>
  <si>
    <t>S4</t>
  </si>
  <si>
    <t>KK1, KK2</t>
  </si>
  <si>
    <t>Ekonomi Digital</t>
  </si>
  <si>
    <t>S2</t>
  </si>
  <si>
    <t>S1</t>
  </si>
  <si>
    <t>PBK</t>
  </si>
  <si>
    <t>Peran</t>
  </si>
  <si>
    <t>Fondasi Teori</t>
  </si>
  <si>
    <t>I</t>
  </si>
  <si>
    <t>Nilai Islam</t>
  </si>
  <si>
    <t>S1-S2</t>
  </si>
  <si>
    <t>Nilai &amp; Etika</t>
  </si>
  <si>
    <t>S2-S3</t>
  </si>
  <si>
    <t>S1-S3</t>
  </si>
  <si>
    <t>R</t>
  </si>
  <si>
    <t>Pendukung Ekonomi</t>
  </si>
  <si>
    <t>Komunikasi</t>
  </si>
  <si>
    <t>PAI 3 (Fiqh Muamalat)</t>
  </si>
  <si>
    <t>S1-S4</t>
  </si>
  <si>
    <t>Teori Ekonomi Mikro I</t>
  </si>
  <si>
    <t>Teori Ekonomi Makro I</t>
  </si>
  <si>
    <t>Sejarah &amp; Peradaban</t>
  </si>
  <si>
    <t>M</t>
  </si>
  <si>
    <t>Ekonometrika I</t>
  </si>
  <si>
    <t>Regional</t>
  </si>
  <si>
    <t>Digital &amp; Inovasi</t>
  </si>
  <si>
    <t>PAI 5</t>
  </si>
  <si>
    <t>Metodologi</t>
  </si>
  <si>
    <t>Ekonomi Kependudukan</t>
  </si>
  <si>
    <t>Pembangunan</t>
  </si>
  <si>
    <t>Lingkungan</t>
  </si>
  <si>
    <t>Industri Keuangan</t>
  </si>
  <si>
    <t>Keuangan</t>
  </si>
  <si>
    <t>PAI 6</t>
  </si>
  <si>
    <t>Kelembagaan</t>
  </si>
  <si>
    <t>Sektoral</t>
  </si>
  <si>
    <t>Manajemen Keuangan &amp; Investasi</t>
  </si>
  <si>
    <t>Terapan</t>
  </si>
  <si>
    <t>PAI 7</t>
  </si>
  <si>
    <t>Decision Science</t>
  </si>
  <si>
    <t>Digital</t>
  </si>
  <si>
    <t>Perilaku</t>
  </si>
  <si>
    <t>Studi Kelayakan &amp; Risiko</t>
  </si>
  <si>
    <t>Ushul Fiqh Keuangan</t>
  </si>
  <si>
    <t>Seminar Proposal</t>
  </si>
  <si>
    <t>Integratif</t>
  </si>
  <si>
    <t>P1–P4</t>
  </si>
  <si>
    <t>KU1–KU3</t>
  </si>
  <si>
    <t>KK1–KK4</t>
  </si>
  <si>
    <t>Pengenalan konsep dasar</t>
  </si>
  <si>
    <t>Penguatan dan aplikasi</t>
  </si>
  <si>
    <t>Penguasaan dan sintesis</t>
  </si>
  <si>
    <t>wS</t>
  </si>
  <si>
    <t>wP</t>
  </si>
  <si>
    <t>wKU</t>
  </si>
  <si>
    <t>wKK</t>
  </si>
  <si>
    <t>Norm</t>
  </si>
  <si>
    <t>SKS Auto</t>
  </si>
  <si>
    <t>Fixed</t>
  </si>
  <si>
    <t>Priority</t>
  </si>
  <si>
    <t>Rank</t>
  </si>
  <si>
    <t>SKS Final</t>
  </si>
  <si>
    <t>PAI 1</t>
  </si>
  <si>
    <t>Kewarganegaraan</t>
  </si>
  <si>
    <t>PAI 2</t>
  </si>
  <si>
    <t>PAI 3</t>
  </si>
  <si>
    <t>Mikro I</t>
  </si>
  <si>
    <t>Makro I</t>
  </si>
  <si>
    <t>Sejarah Ekonomi</t>
  </si>
  <si>
    <t>LKS</t>
  </si>
  <si>
    <t>PAI 4</t>
  </si>
  <si>
    <t>Mikro II</t>
  </si>
  <si>
    <t>Makro II</t>
  </si>
  <si>
    <t>Creative Data</t>
  </si>
  <si>
    <t>Ekonometrika Lanjut</t>
  </si>
  <si>
    <t>Moneter</t>
  </si>
  <si>
    <t>Internasional</t>
  </si>
  <si>
    <t>Kependudukan</t>
  </si>
  <si>
    <t>Perencanaan</t>
  </si>
  <si>
    <t>Ekonomi Politik</t>
  </si>
  <si>
    <t>LKS Lanjut</t>
  </si>
  <si>
    <t>Law &amp; Econ</t>
  </si>
  <si>
    <t>Decision Making</t>
  </si>
  <si>
    <t>Behavioral Econ</t>
  </si>
  <si>
    <t>Wakaf Zakat</t>
  </si>
  <si>
    <t>Etika Bisnis</t>
  </si>
  <si>
    <t>Ushul Fiqh</t>
  </si>
  <si>
    <t>TOTAL SKS</t>
  </si>
  <si>
    <t>Tabel X. Distribusi Mata Kuliah per Semester dan Beban Studi</t>
  </si>
  <si>
    <t>Semester I – Tahap Pengenalan (Introduce)</t>
  </si>
  <si>
    <t>Pendidikan Agama Islam 1 (Aqidah)</t>
  </si>
  <si>
    <t>Total SKS</t>
  </si>
  <si>
    <t>Semester II – Tahap Pengenalan–Penguatan (I–R)</t>
  </si>
  <si>
    <t>Pendidikan Agama Islam 2 (Pesantren)</t>
  </si>
  <si>
    <t>Semester III – Tahap Penguatan (Reinforce)</t>
  </si>
  <si>
    <t>Pendidikan Agama Islam 3 (Fiqh Muamalat)</t>
  </si>
  <si>
    <t>Semester IV – Tahap Penguatan (Reinforce)</t>
  </si>
  <si>
    <t>Pendidikan Agama Islam 4 (Akhlak)</t>
  </si>
  <si>
    <t>Semester V – Tahap Penguatan–Penguasaan (R–M)</t>
  </si>
  <si>
    <t>Pendidikan Agama Islam 5</t>
  </si>
  <si>
    <t>Semester VI – Tahap Penguasaan (Mastery)</t>
  </si>
  <si>
    <t>Pendidikan Agama Islam 6</t>
  </si>
  <si>
    <t>Semester VII – Tahap Penguasaan (Mastery)</t>
  </si>
  <si>
    <t>Pendidikan Agama Islam 7</t>
  </si>
  <si>
    <t>Semester VIII – Tahap Integrasi (Final Mastery)</t>
  </si>
  <si>
    <t>Seminar Usulan Penelitian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</si>
</sst>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_-;\-* #,##0.0_-;_-* &quot;-&quot;??_-;_-@_-"/>
  </numFmts>
  <fonts count="18" x14ac:knownFonts="1">
    <font>
      <sz val="11"/>
      <color theme="1"/>
      <name val="Calibri"/>
      <family val="2"/>
      <charset val="1"/>
      <scheme val="minor"/>
    </font>
    <font>
      <b/>
      <sz val="11"/>
      <color theme="1"/>
      <name val="Calibri"/>
      <family val="2"/>
      <charset val="1"/>
      <scheme val="minor"/>
    </font>
    <font>
      <sz val="12"/>
      <color theme="1"/>
      <name val="Calibri"/>
      <family val="2"/>
      <charset val="1"/>
      <scheme val="minor"/>
    </font>
    <font>
      <sz val="11"/>
      <color theme="1"/>
      <name val="Calibri"/>
      <family val="2"/>
      <charset val="1"/>
      <scheme val="minor"/>
    </font>
    <font>
      <b/>
      <sz val="12"/>
      <color theme="1"/>
      <name val="Calibri"/>
      <family val="2"/>
      <scheme val="minor"/>
    </font>
    <font>
      <sz val="9"/>
      <color indexed="81"/>
      <name val="Tahoma"/>
      <family val="2"/>
    </font>
    <font>
      <b/>
      <sz val="9"/>
      <color indexed="81"/>
      <name val="Tahoma"/>
      <family val="2"/>
    </font>
    <font>
      <b/>
      <sz val="11"/>
      <color theme="1"/>
      <name val="Calibri"/>
      <family val="2"/>
      <scheme val="minor"/>
    </font>
    <font>
      <sz val="11"/>
      <color theme="1"/>
      <name val="Calibri"/>
      <family val="2"/>
      <scheme val="minor"/>
    </font>
    <font>
      <b/>
      <sz val="11"/>
      <color rgb="FF000000"/>
      <name val="Times New Roman"/>
      <family val="1"/>
    </font>
    <font>
      <sz val="11"/>
      <color rgb="FF000000"/>
      <name val="Times New Roman"/>
      <family val="1"/>
    </font>
    <font>
      <b/>
      <i/>
      <sz val="11"/>
      <color theme="1"/>
      <name val="Calibri"/>
      <family val="2"/>
      <scheme val="minor"/>
    </font>
    <font>
      <sz val="12"/>
      <color theme="1"/>
      <name val="Times New Roman"/>
      <family val="1"/>
    </font>
    <font>
      <sz val="12"/>
      <color rgb="FF000000"/>
      <name val="Times New Roman"/>
      <family val="1"/>
    </font>
    <font>
      <sz val="11"/>
      <color theme="1"/>
      <name val="Times New Roman"/>
      <family val="1"/>
    </font>
    <font>
      <b/>
      <sz val="13.5"/>
      <color theme="1"/>
      <name val="Calibri"/>
      <family val="2"/>
      <charset val="1"/>
      <scheme val="minor"/>
    </font>
    <font>
      <b/>
      <sz val="12"/>
      <color theme="1"/>
      <name val="Calibri"/>
      <family val="2"/>
      <charset val="1"/>
      <scheme val="minor"/>
    </font>
    <font>
      <b/>
      <sz val="11"/>
      <color theme="1"/>
      <name val="Times New Roman"/>
      <family val="1"/>
    </font>
  </fonts>
  <fills count="8">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rgb="FFD9EAD3"/>
        <bgColor indexed="64"/>
      </patternFill>
    </fill>
    <fill>
      <patternFill patternType="solid">
        <fgColor rgb="FFFCE5CD"/>
        <bgColor indexed="64"/>
      </patternFill>
    </fill>
    <fill>
      <patternFill patternType="solid">
        <fgColor rgb="FFFFF2CC"/>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double">
        <color indexed="64"/>
      </top>
      <bottom style="double">
        <color indexed="64"/>
      </bottom>
      <diagonal/>
    </border>
    <border>
      <left style="thin">
        <color indexed="64"/>
      </left>
      <right style="thin">
        <color indexed="64"/>
      </right>
      <top style="thin">
        <color indexed="64"/>
      </top>
      <bottom/>
      <diagonal/>
    </border>
  </borders>
  <cellStyleXfs count="2">
    <xf numFmtId="0" fontId="0" fillId="0" borderId="0"/>
    <xf numFmtId="43" fontId="3" fillId="0" borderId="0" applyFont="0" applyFill="0" applyBorder="0" applyAlignment="0" applyProtection="0"/>
  </cellStyleXfs>
  <cellXfs count="109">
    <xf numFmtId="0" fontId="0" fillId="0" borderId="0" xfId="0"/>
    <xf numFmtId="0" fontId="1"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xf>
    <xf numFmtId="0" fontId="2" fillId="0" borderId="0" xfId="0" applyFont="1"/>
    <xf numFmtId="0" fontId="4" fillId="0" borderId="0" xfId="0" applyFont="1"/>
    <xf numFmtId="0" fontId="0" fillId="0" borderId="0" xfId="0" applyAlignment="1">
      <alignment vertical="center"/>
    </xf>
    <xf numFmtId="0" fontId="1" fillId="0" borderId="0" xfId="0" applyFont="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1" fillId="0" borderId="1" xfId="0" applyFont="1" applyBorder="1" applyAlignment="1">
      <alignment horizontal="center" vertical="center"/>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1" xfId="0" applyBorder="1" applyAlignment="1">
      <alignment vertical="center"/>
    </xf>
    <xf numFmtId="0" fontId="0" fillId="0" borderId="1" xfId="0"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top"/>
    </xf>
    <xf numFmtId="0" fontId="0" fillId="0" borderId="1" xfId="0" applyBorder="1" applyAlignment="1">
      <alignment vertical="top"/>
    </xf>
    <xf numFmtId="0" fontId="0" fillId="0" borderId="0" xfId="0"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7" fillId="0" borderId="0" xfId="0" applyFont="1"/>
    <xf numFmtId="0" fontId="0" fillId="0" borderId="1" xfId="0" applyBorder="1"/>
    <xf numFmtId="0" fontId="7" fillId="0" borderId="1" xfId="0" applyFont="1" applyBorder="1"/>
    <xf numFmtId="43" fontId="0" fillId="0" borderId="1" xfId="1" applyFont="1" applyBorder="1"/>
    <xf numFmtId="43" fontId="0" fillId="0" borderId="1" xfId="0" applyNumberFormat="1" applyBorder="1"/>
    <xf numFmtId="164" fontId="0" fillId="0" borderId="1" xfId="1" applyNumberFormat="1" applyFont="1" applyBorder="1"/>
    <xf numFmtId="164" fontId="0" fillId="0" borderId="1" xfId="0" applyNumberFormat="1" applyBorder="1"/>
    <xf numFmtId="43" fontId="0" fillId="0" borderId="0" xfId="0" applyNumberFormat="1"/>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0" fillId="2" borderId="1" xfId="0" applyFill="1" applyBorder="1" applyAlignment="1">
      <alignment vertical="center"/>
    </xf>
    <xf numFmtId="0" fontId="0" fillId="2" borderId="1" xfId="0" applyFill="1" applyBorder="1" applyAlignment="1">
      <alignment horizontal="left" vertical="center"/>
    </xf>
    <xf numFmtId="43" fontId="0" fillId="2" borderId="1" xfId="0" applyNumberFormat="1" applyFill="1" applyBorder="1" applyAlignment="1">
      <alignment vertical="center"/>
    </xf>
    <xf numFmtId="0" fontId="0" fillId="2" borderId="1" xfId="0" applyFill="1" applyBorder="1" applyAlignment="1">
      <alignment horizontal="left"/>
    </xf>
    <xf numFmtId="2" fontId="0" fillId="0" borderId="0" xfId="0" applyNumberFormat="1"/>
    <xf numFmtId="0" fontId="1" fillId="0" borderId="1" xfId="0" applyFont="1" applyBorder="1" applyAlignment="1">
      <alignment horizontal="center" vertical="center" wrapText="1"/>
    </xf>
    <xf numFmtId="0" fontId="0" fillId="0" borderId="1" xfId="0" applyBorder="1" applyAlignment="1">
      <alignment vertical="center" wrapText="1"/>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10" fillId="0" borderId="5" xfId="0" applyFont="1" applyBorder="1" applyAlignment="1">
      <alignment vertical="center"/>
    </xf>
    <xf numFmtId="0" fontId="10" fillId="0" borderId="6" xfId="0" applyFont="1" applyBorder="1" applyAlignment="1">
      <alignment vertical="center"/>
    </xf>
    <xf numFmtId="0" fontId="10" fillId="0" borderId="6" xfId="0" applyFont="1" applyBorder="1" applyAlignment="1">
      <alignment horizontal="right" vertical="center"/>
    </xf>
    <xf numFmtId="0" fontId="8" fillId="0" borderId="6" xfId="0" applyFont="1" applyBorder="1" applyAlignment="1">
      <alignment vertical="center"/>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10" fillId="0" borderId="5" xfId="0" applyFont="1" applyBorder="1" applyAlignment="1">
      <alignment vertical="center" wrapText="1"/>
    </xf>
    <xf numFmtId="0" fontId="10" fillId="0" borderId="6" xfId="0" applyFont="1" applyBorder="1" applyAlignment="1">
      <alignment vertical="center" wrapText="1"/>
    </xf>
    <xf numFmtId="0" fontId="10" fillId="0" borderId="6" xfId="0" applyFont="1" applyBorder="1" applyAlignment="1">
      <alignment horizontal="right"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vertical="top" wrapText="1"/>
    </xf>
    <xf numFmtId="0" fontId="8" fillId="0" borderId="0" xfId="0" applyFont="1" applyAlignment="1">
      <alignment horizontal="left" vertical="top"/>
    </xf>
    <xf numFmtId="0" fontId="8" fillId="0" borderId="0" xfId="0" applyFont="1" applyAlignment="1">
      <alignment horizontal="right" vertical="top"/>
    </xf>
    <xf numFmtId="0" fontId="8" fillId="0" borderId="0" xfId="0" applyFont="1" applyAlignment="1">
      <alignment horizontal="right" vertical="top" wrapText="1"/>
    </xf>
    <xf numFmtId="0" fontId="8" fillId="0" borderId="0" xfId="0" applyFont="1" applyAlignment="1">
      <alignment horizontal="center"/>
    </xf>
    <xf numFmtId="0" fontId="7" fillId="4" borderId="0" xfId="0" applyFont="1" applyFill="1" applyAlignment="1">
      <alignment horizontal="center" vertical="center"/>
    </xf>
    <xf numFmtId="0" fontId="7" fillId="4" borderId="0" xfId="0" applyFont="1" applyFill="1" applyAlignment="1">
      <alignment horizontal="right" vertical="top"/>
    </xf>
    <xf numFmtId="0" fontId="7" fillId="4" borderId="0" xfId="0" applyFont="1" applyFill="1" applyAlignment="1">
      <alignment horizontal="center" vertical="top"/>
    </xf>
    <xf numFmtId="0" fontId="1" fillId="0" borderId="0" xfId="0" applyFont="1"/>
    <xf numFmtId="0" fontId="0" fillId="0" borderId="0" xfId="0" applyAlignment="1"/>
    <xf numFmtId="0" fontId="7" fillId="0" borderId="1" xfId="0" applyFont="1" applyBorder="1" applyAlignment="1">
      <alignment horizont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7" fillId="3" borderId="0" xfId="0" applyFont="1" applyFill="1" applyAlignment="1">
      <alignment horizontal="center"/>
    </xf>
    <xf numFmtId="0" fontId="13" fillId="5" borderId="11" xfId="0" applyFont="1" applyFill="1" applyBorder="1" applyAlignment="1">
      <alignment horizontal="justify" vertical="center" wrapText="1"/>
    </xf>
    <xf numFmtId="0" fontId="13" fillId="6" borderId="11" xfId="0" applyFont="1" applyFill="1" applyBorder="1" applyAlignment="1">
      <alignment horizontal="justify" vertical="center" wrapText="1"/>
    </xf>
    <xf numFmtId="0" fontId="13" fillId="7" borderId="11" xfId="0" applyFont="1" applyFill="1" applyBorder="1" applyAlignment="1">
      <alignment horizontal="justify" vertical="center" wrapText="1"/>
    </xf>
    <xf numFmtId="0" fontId="12" fillId="0" borderId="8" xfId="0" applyFont="1" applyBorder="1" applyAlignment="1">
      <alignment horizontal="justify"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3" fillId="5" borderId="10"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9"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6" borderId="12"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3" fillId="7" borderId="10" xfId="0" applyFont="1" applyFill="1" applyBorder="1" applyAlignment="1">
      <alignment horizontal="justify" vertical="center" wrapText="1"/>
    </xf>
    <xf numFmtId="0" fontId="13" fillId="7" borderId="12" xfId="0" applyFont="1" applyFill="1" applyBorder="1" applyAlignment="1">
      <alignment horizontal="justify" vertical="center" wrapText="1"/>
    </xf>
    <xf numFmtId="0" fontId="13" fillId="7" borderId="9" xfId="0" applyFont="1" applyFill="1" applyBorder="1" applyAlignment="1">
      <alignment horizontal="justify" vertical="center" wrapText="1"/>
    </xf>
    <xf numFmtId="0" fontId="14" fillId="0" borderId="0" xfId="0" applyFont="1"/>
    <xf numFmtId="0" fontId="14" fillId="0" borderId="0" xfId="0" applyFont="1" applyAlignment="1">
      <alignment horizontal="center"/>
    </xf>
    <xf numFmtId="0" fontId="14" fillId="0" borderId="0" xfId="0" applyFont="1" applyBorder="1"/>
    <xf numFmtId="0" fontId="12" fillId="0" borderId="1" xfId="0" applyFont="1" applyBorder="1" applyAlignment="1">
      <alignment horizontal="right" vertical="center"/>
    </xf>
    <xf numFmtId="0" fontId="12" fillId="0" borderId="1" xfId="0" applyFont="1" applyBorder="1" applyAlignment="1">
      <alignment horizontal="left" vertical="center"/>
    </xf>
    <xf numFmtId="0" fontId="14" fillId="0" borderId="1" xfId="0" applyFont="1" applyBorder="1"/>
    <xf numFmtId="0" fontId="12" fillId="0" borderId="1" xfId="0" applyFont="1" applyBorder="1" applyAlignment="1">
      <alignment vertical="top"/>
    </xf>
    <xf numFmtId="0" fontId="1" fillId="0" borderId="0" xfId="0" applyFont="1" applyAlignment="1">
      <alignment horizontal="center" vertical="center" wrapText="1"/>
    </xf>
    <xf numFmtId="0" fontId="0" fillId="0" borderId="0" xfId="0" applyAlignment="1">
      <alignment vertical="center" wrapText="1"/>
    </xf>
    <xf numFmtId="0" fontId="14" fillId="0" borderId="0" xfId="0" applyFont="1" applyBorder="1" applyAlignment="1">
      <alignment horizontal="left"/>
    </xf>
    <xf numFmtId="0" fontId="0" fillId="0" borderId="0" xfId="0" applyAlignment="1">
      <alignment horizontal="right"/>
    </xf>
    <xf numFmtId="0" fontId="7" fillId="0" borderId="1" xfId="0" applyFont="1" applyBorder="1" applyAlignment="1">
      <alignment horizontal="right"/>
    </xf>
    <xf numFmtId="0" fontId="0" fillId="0" borderId="1" xfId="0" applyBorder="1" applyAlignment="1">
      <alignment horizontal="right"/>
    </xf>
    <xf numFmtId="0" fontId="0" fillId="0" borderId="14" xfId="0" applyBorder="1"/>
    <xf numFmtId="0" fontId="0" fillId="0" borderId="14" xfId="0" applyBorder="1" applyAlignment="1">
      <alignment horizontal="right"/>
    </xf>
    <xf numFmtId="0" fontId="0" fillId="0" borderId="13" xfId="0" applyBorder="1"/>
    <xf numFmtId="0" fontId="0" fillId="0" borderId="13" xfId="0" applyBorder="1" applyAlignment="1">
      <alignment horizontal="right"/>
    </xf>
    <xf numFmtId="0" fontId="15" fillId="0" borderId="0" xfId="0" applyFont="1" applyAlignment="1">
      <alignment vertical="center"/>
    </xf>
    <xf numFmtId="0" fontId="1" fillId="0" borderId="0" xfId="0" applyFont="1" applyAlignment="1">
      <alignment vertical="center" wrapText="1"/>
    </xf>
    <xf numFmtId="0" fontId="0" fillId="0" borderId="0" xfId="0" applyAlignment="1">
      <alignment wrapText="1"/>
    </xf>
    <xf numFmtId="0" fontId="16" fillId="0" borderId="0" xfId="0" applyFont="1" applyAlignment="1">
      <alignment vertical="center" wrapText="1"/>
    </xf>
    <xf numFmtId="0" fontId="1" fillId="0" borderId="0" xfId="0" applyFont="1" applyAlignment="1">
      <alignment vertical="center"/>
    </xf>
    <xf numFmtId="0" fontId="17" fillId="0" borderId="1" xfId="0" applyFont="1" applyBorder="1" applyAlignment="1">
      <alignment horizontal="center" vertical="center"/>
    </xf>
    <xf numFmtId="0" fontId="17" fillId="0" borderId="1" xfId="0" applyFont="1" applyBorder="1" applyAlignment="1">
      <alignment horizontal="left" vertical="center"/>
    </xf>
    <xf numFmtId="0" fontId="14" fillId="0" borderId="1" xfId="0" applyFont="1" applyBorder="1" applyAlignment="1">
      <alignment vertical="center"/>
    </xf>
    <xf numFmtId="0" fontId="14" fillId="0" borderId="1" xfId="0" applyFont="1" applyBorder="1" applyAlignment="1">
      <alignment horizontal="lef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19</xdr:col>
      <xdr:colOff>36634</xdr:colOff>
      <xdr:row>68</xdr:row>
      <xdr:rowOff>7325</xdr:rowOff>
    </xdr:from>
    <xdr:to>
      <xdr:col>22</xdr:col>
      <xdr:colOff>21981</xdr:colOff>
      <xdr:row>145</xdr:row>
      <xdr:rowOff>139212</xdr:rowOff>
    </xdr:to>
    <xdr:sp macro="" textlink="">
      <xdr:nvSpPr>
        <xdr:cNvPr id="2" name="TextBox 1">
          <a:extLst>
            <a:ext uri="{FF2B5EF4-FFF2-40B4-BE49-F238E27FC236}">
              <a16:creationId xmlns:a16="http://schemas.microsoft.com/office/drawing/2014/main" id="{BA7AE250-4450-4640-8251-359FB2E61D8E}"/>
            </a:ext>
          </a:extLst>
        </xdr:cNvPr>
        <xdr:cNvSpPr txBox="1"/>
      </xdr:nvSpPr>
      <xdr:spPr>
        <a:xfrm>
          <a:off x="22435038" y="12961325"/>
          <a:ext cx="3465635" cy="14800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b="1"/>
            <a:t>Struktur dan Logika Penempatan Mata Kuliah</a:t>
          </a:r>
        </a:p>
        <a:p>
          <a:r>
            <a:rPr lang="id-ID"/>
            <a:t>Struktur kurikulum Program Studi Ekonomi Pembangunan disusun berdasarkan pendekatan </a:t>
          </a:r>
          <a:r>
            <a:rPr lang="id-ID" i="1"/>
            <a:t>Outcome-Based Education</a:t>
          </a:r>
          <a:r>
            <a:rPr lang="id-ID"/>
            <a:t> (OBE) dengan mempertimbangkan prinsip </a:t>
          </a:r>
          <a:r>
            <a:rPr lang="id-ID" i="1"/>
            <a:t>learning progression</a:t>
          </a:r>
          <a:r>
            <a:rPr lang="id-ID"/>
            <a:t>, yaitu pengembangan kompetensi mahasiswa secara bertahap, sistematis, dan berkelanjutan dari semester awal hingga akhir masa studi. Penempatan mata kuliah dalam setiap semester tidak dilakukan secara acak, melainkan didasarkan pada logika penguasaan ilmu, keterkaitan antar materi, serta tingkat kompleksitas capaian pembelajaran yang diharapkan.</a:t>
          </a:r>
        </a:p>
        <a:p>
          <a:r>
            <a:rPr lang="id-ID"/>
            <a:t>Secara umum, struktur kurikulum dibagi ke dalam empat tahapan utama. Tahap pertama adalah </a:t>
          </a:r>
          <a:r>
            <a:rPr lang="id-ID" i="1"/>
            <a:t>foundational formation</a:t>
          </a:r>
          <a:r>
            <a:rPr lang="id-ID"/>
            <a:t> (semester 1–2), yang bertujuan untuk membangun fondasi pengetahuan dasar ekonomi, membentuk karakter dan nilai keislaman, serta mengembangkan kemampuan literasi akademik mahasiswa. Pada tahap ini, mata kuliah yang diberikan bersifat pengantar, konseptual, dan normatif, seperti Pengantar Ekonomi Mikro, Pengantar Ekonomi Makro, Aqidah, Akhlak, serta Bahasa Indonesia dan Bahasa Inggris. Mahasiswa pada tahap ini diharapkan memiliki kemampuan memahami konsep dasar dan membangun kerangka berpikir awal dalam ilmu ekonomi pembangunan.</a:t>
          </a:r>
        </a:p>
        <a:p>
          <a:r>
            <a:rPr lang="id-ID"/>
            <a:t>Tahap kedua adalah </a:t>
          </a:r>
          <a:r>
            <a:rPr lang="id-ID" i="1"/>
            <a:t>analytical formation</a:t>
          </a:r>
          <a:r>
            <a:rPr lang="id-ID"/>
            <a:t> (semester 3–4), yang difokuskan pada penguatan kemampuan analitis mahasiswa. Mata kuliah pada tahap ini mencakup teori ekonomi lanjutan, matematika ekonomi, statistika, serta pengenalan ekonometrika. Selain itu, mahasiswa juga mulai diperkenalkan pada kajian pembangunan dan pemikiran ekonomi. Pada tahap ini, mahasiswa tidak hanya memahami konsep, tetapi juga mulai mampu melakukan analisis terhadap fenomena ekonomi secara lebih terstruktur dan berbasis data.</a:t>
          </a:r>
        </a:p>
        <a:p>
          <a:r>
            <a:rPr lang="id-ID"/>
            <a:t>Tahap ketiga adalah </a:t>
          </a:r>
          <a:r>
            <a:rPr lang="id-ID" i="1"/>
            <a:t>applied and policy orientation</a:t>
          </a:r>
          <a:r>
            <a:rPr lang="id-ID"/>
            <a:t> (semester 5–6), yang menekankan pada kemampuan mahasiswa dalam mengaplikasikan teori dan metode analisis ke dalam konteks nyata pembangunan ekonomi. Mata kuliah pada tahap ini meliputi ekonomi sektoral, kebijakan pembangunan, perencanaan pembangunan, serta metode penelitian. Mahasiswa diharapkan mampu mengidentifikasi permasalahan sosial ekonomi, melakukan analisis berbasis data, serta merumuskan rekomendasi kebijakan yang relevan.</a:t>
          </a:r>
        </a:p>
        <a:p>
          <a:r>
            <a:rPr lang="id-ID"/>
            <a:t>Tahap keempat adalah </a:t>
          </a:r>
          <a:r>
            <a:rPr lang="id-ID" i="1"/>
            <a:t>integration and professional development</a:t>
          </a:r>
          <a:r>
            <a:rPr lang="id-ID"/>
            <a:t> (semester 7–8), yang merupakan tahap integrasi dan pematangan kompetensi. Pada tahap ini, mahasiswa mengikuti mata kuliah yang berorientasi pada praktik profesional, seperti manajemen keuangan, kewirausahaan, ekonomi digital, serta studi kelayakan. Selain itu, mahasiswa juga menyelesaikan tugas akhir berupa skripsi sebagai bentuk integrasi pengetahuan, keterampilan, dan sikap yang telah diperoleh selama proses pembelajaran. Tahap ini bertujuan untuk memastikan kesiapan lulusan dalam memasuki dunia kerja, melanjutkan studi, maupun berkontribusi dalam pengembangan masyarakat.</a:t>
          </a:r>
        </a:p>
        <a:p>
          <a:r>
            <a:rPr lang="id-ID"/>
            <a:t>Selain pembagian tahapan tersebut, struktur kurikulum juga disusun berdasarkan logika prasyarat keilmuan. Mata kuliah dasar seperti matematika ekonomi dan statistika ditempatkan sebelum ekonometrika dan metode penelitian. Demikian pula, mata kuliah teori ekonomi ditempatkan sebelum mata kuliah kebijakan dan perencanaan pembangunan. Pendekatan ini memastikan bahwa mahasiswa memiliki dasar pengetahuan yang memadai sebelum memasuki materi yang lebih kompleks dan aplikatif.</a:t>
          </a:r>
        </a:p>
        <a:p>
          <a:r>
            <a:rPr lang="id-ID"/>
            <a:t>Lebih lanjut, integrasi nilai-nilai keislaman tidak hanya ditempatkan pada mata kuliah khusus, tetapi juga diinternalisasikan secara bertahap dalam berbagai mata kuliah, terutama yang berkaitan dengan kebijakan, etika bisnis, dan pengelolaan sumber daya. Hal ini mencerminkan karakter khas Program Studi Ekonomi Pembangunan yang mengintegrasikan ilmu ekonomi dengan nilai-nilai Islam.</a:t>
          </a:r>
        </a:p>
        <a:p>
          <a:r>
            <a:rPr lang="id-ID"/>
            <a:t>Dengan demikian, struktur dan penempatan mata kuliah dalam kurikulum ini dirancang untuk memastikan ketercapaian capaian pembelajaran lulusan secara optimal, baik dalam aspek sikap, pengetahuan, maupun keterampilan. Pendekatan bertahap ini juga memberikan jalur pembelajaran yang jelas bagi mahasiswa dalam mengembangkan kompetensi dari tingkat dasar hingga tingkat profesional.</a:t>
          </a:r>
        </a:p>
        <a:p>
          <a:endParaRPr lang="id-ID"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3</xdr:row>
      <xdr:rowOff>180975</xdr:rowOff>
    </xdr:from>
    <xdr:to>
      <xdr:col>0</xdr:col>
      <xdr:colOff>4219575</xdr:colOff>
      <xdr:row>23</xdr:row>
      <xdr:rowOff>104775</xdr:rowOff>
    </xdr:to>
    <xdr:sp macro="" textlink="">
      <xdr:nvSpPr>
        <xdr:cNvPr id="2" name="TextBox 1">
          <a:extLst>
            <a:ext uri="{FF2B5EF4-FFF2-40B4-BE49-F238E27FC236}">
              <a16:creationId xmlns:a16="http://schemas.microsoft.com/office/drawing/2014/main" id="{E2695D82-FCBF-49E9-A599-CA2D2DE0F5A0}"/>
            </a:ext>
          </a:extLst>
        </xdr:cNvPr>
        <xdr:cNvSpPr txBox="1"/>
      </xdr:nvSpPr>
      <xdr:spPr>
        <a:xfrm>
          <a:off x="28575" y="752475"/>
          <a:ext cx="4191000" cy="37338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b="1"/>
            <a:t>2. Catatan Implementatif</a:t>
          </a:r>
        </a:p>
        <a:p>
          <a:r>
            <a:rPr lang="id-ID"/>
            <a:t>Mata kuliah yang dipilih diarahkan untuk memperkuat:</a:t>
          </a:r>
          <a:endParaRPr lang="en-US"/>
        </a:p>
        <a:p>
          <a:r>
            <a:rPr lang="en-US"/>
            <a:t>1.</a:t>
          </a:r>
          <a:r>
            <a:rPr lang="en-US" baseline="0"/>
            <a:t> </a:t>
          </a:r>
          <a:r>
            <a:rPr lang="id-ID"/>
            <a:t>kemampuan analisis kebijakan</a:t>
          </a:r>
          <a:endParaRPr lang="en-US"/>
        </a:p>
        <a:p>
          <a:r>
            <a:rPr lang="en-US"/>
            <a:t>2.</a:t>
          </a:r>
          <a:r>
            <a:rPr lang="en-US" baseline="0"/>
            <a:t> </a:t>
          </a:r>
          <a:r>
            <a:rPr lang="id-ID"/>
            <a:t>keterampilan pengambilan keputusan</a:t>
          </a:r>
          <a:endParaRPr lang="en-US"/>
        </a:p>
        <a:p>
          <a:r>
            <a:rPr lang="en-US"/>
            <a:t>3.</a:t>
          </a:r>
          <a:r>
            <a:rPr lang="en-US" baseline="0"/>
            <a:t> </a:t>
          </a:r>
          <a:r>
            <a:rPr lang="id-ID"/>
            <a:t>pemahaman lintas disiplin</a:t>
          </a:r>
        </a:p>
        <a:p>
          <a:r>
            <a:rPr lang="id-ID"/>
            <a:t>Mata kuliah dapat:</a:t>
          </a:r>
          <a:endParaRPr lang="en-US"/>
        </a:p>
        <a:p>
          <a:r>
            <a:rPr lang="en-US"/>
            <a:t>1.</a:t>
          </a:r>
          <a:r>
            <a:rPr lang="en-US" baseline="0"/>
            <a:t> </a:t>
          </a:r>
          <a:r>
            <a:rPr lang="id-ID"/>
            <a:t>dikonversi langsung ke mata kuliah PSEP</a:t>
          </a:r>
          <a:endParaRPr lang="en-US"/>
        </a:p>
        <a:p>
          <a:r>
            <a:rPr lang="en-US"/>
            <a:t>2.</a:t>
          </a:r>
          <a:r>
            <a:rPr lang="en-US" baseline="0"/>
            <a:t> </a:t>
          </a:r>
          <a:r>
            <a:rPr lang="id-ID"/>
            <a:t>atau diakui sebagai mata kuliah pilihan/MBKM</a:t>
          </a:r>
        </a:p>
        <a:p>
          <a:r>
            <a:rPr lang="id-ID"/>
            <a:t>Pemilihan mata kuliah tetap melalui:</a:t>
          </a:r>
          <a:endParaRPr lang="en-US"/>
        </a:p>
        <a:p>
          <a:r>
            <a:rPr lang="en-US"/>
            <a:t>1.</a:t>
          </a:r>
          <a:r>
            <a:rPr lang="en-US" baseline="0"/>
            <a:t> </a:t>
          </a:r>
          <a:r>
            <a:rPr lang="id-ID"/>
            <a:t>persetujuan dosen wali</a:t>
          </a:r>
          <a:endParaRPr lang="en-US"/>
        </a:p>
        <a:p>
          <a:r>
            <a:rPr lang="en-US"/>
            <a:t>2.</a:t>
          </a:r>
          <a:r>
            <a:rPr lang="en-US" baseline="0"/>
            <a:t> </a:t>
          </a:r>
          <a:r>
            <a:rPr lang="id-ID"/>
            <a:t>validasi program studi</a:t>
          </a:r>
        </a:p>
        <a:p>
          <a:r>
            <a:rPr lang="id-ID" b="1"/>
            <a:t>3. Catatan Strategis</a:t>
          </a:r>
        </a:p>
        <a:p>
          <a:r>
            <a:rPr lang="id-ID"/>
            <a:t>Contoh ini menunjukkan bahwa:</a:t>
          </a:r>
        </a:p>
        <a:p>
          <a:r>
            <a:rPr lang="id-ID"/>
            <a:t>Mahasiswa PSEP dapat memperluas kompetensi ke bidang:</a:t>
          </a:r>
        </a:p>
        <a:p>
          <a:pPr lvl="1"/>
          <a:r>
            <a:rPr lang="en-US"/>
            <a:t>1. </a:t>
          </a:r>
          <a:r>
            <a:rPr lang="id-ID"/>
            <a:t>hukum</a:t>
          </a:r>
        </a:p>
        <a:p>
          <a:pPr lvl="1"/>
          <a:r>
            <a:rPr lang="en-US"/>
            <a:t>2. </a:t>
          </a:r>
          <a:r>
            <a:rPr lang="id-ID"/>
            <a:t>manajemen</a:t>
          </a:r>
        </a:p>
        <a:p>
          <a:pPr lvl="1"/>
          <a:r>
            <a:rPr lang="en-US"/>
            <a:t>3. </a:t>
          </a:r>
          <a:r>
            <a:rPr lang="id-ID"/>
            <a:t>teknologi</a:t>
          </a:r>
        </a:p>
        <a:p>
          <a:pPr lvl="1"/>
          <a:r>
            <a:rPr lang="en-US"/>
            <a:t>4. </a:t>
          </a:r>
          <a:r>
            <a:rPr lang="id-ID"/>
            <a:t>sosial</a:t>
          </a:r>
        </a:p>
        <a:p>
          <a:r>
            <a:rPr lang="id-ID"/>
            <a:t>Tanpa kehilangan arah CPL, karena:</a:t>
          </a:r>
        </a:p>
        <a:p>
          <a:pPr lvl="1"/>
          <a:r>
            <a:rPr lang="id-ID"/>
            <a:t>setiap mata kuliah tetap dipetakan ke CPL</a:t>
          </a:r>
        </a:p>
        <a:p>
          <a:endParaRPr lang="id-ID"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DAFFE-0098-41BD-B558-36C51ACDC19A}">
  <dimension ref="A1:X12"/>
  <sheetViews>
    <sheetView workbookViewId="0">
      <selection activeCell="W3" sqref="W3"/>
    </sheetView>
  </sheetViews>
  <sheetFormatPr defaultRowHeight="15" x14ac:dyDescent="0.25"/>
  <cols>
    <col min="1" max="20" width="5.7109375" style="83" customWidth="1"/>
    <col min="21" max="16384" width="9.140625" style="83"/>
  </cols>
  <sheetData>
    <row r="1" spans="1:24" ht="16.5" thickBot="1" x14ac:dyDescent="0.3">
      <c r="A1" s="72"/>
      <c r="B1" s="75" t="s">
        <v>385</v>
      </c>
      <c r="C1" s="74"/>
      <c r="D1" s="74"/>
      <c r="E1" s="74"/>
      <c r="F1" s="74"/>
      <c r="G1" s="74"/>
      <c r="H1" s="74"/>
      <c r="I1" s="74"/>
      <c r="J1" s="74"/>
      <c r="K1" s="76"/>
      <c r="L1" s="78" t="s">
        <v>386</v>
      </c>
      <c r="M1" s="77"/>
      <c r="N1" s="77"/>
      <c r="O1" s="77"/>
      <c r="P1" s="79"/>
      <c r="Q1" s="81" t="s">
        <v>387</v>
      </c>
      <c r="R1" s="80"/>
      <c r="S1" s="80"/>
      <c r="T1" s="82"/>
      <c r="U1" s="83" t="s">
        <v>388</v>
      </c>
    </row>
    <row r="2" spans="1:24" ht="16.5" thickBot="1" x14ac:dyDescent="0.3">
      <c r="A2" s="73"/>
      <c r="B2" s="68">
        <v>1</v>
      </c>
      <c r="C2" s="68">
        <v>2</v>
      </c>
      <c r="D2" s="68">
        <v>3</v>
      </c>
      <c r="E2" s="68">
        <v>4</v>
      </c>
      <c r="F2" s="68">
        <v>5</v>
      </c>
      <c r="G2" s="68">
        <v>6</v>
      </c>
      <c r="H2" s="68">
        <v>7</v>
      </c>
      <c r="I2" s="68">
        <v>8</v>
      </c>
      <c r="J2" s="68">
        <v>9</v>
      </c>
      <c r="K2" s="68">
        <v>10</v>
      </c>
      <c r="L2" s="69">
        <v>1</v>
      </c>
      <c r="M2" s="69">
        <v>2</v>
      </c>
      <c r="N2" s="69">
        <v>3</v>
      </c>
      <c r="O2" s="69">
        <v>4</v>
      </c>
      <c r="P2" s="69">
        <v>5</v>
      </c>
      <c r="Q2" s="70">
        <v>1</v>
      </c>
      <c r="R2" s="70">
        <v>2</v>
      </c>
      <c r="S2" s="70">
        <v>3</v>
      </c>
      <c r="T2" s="70">
        <v>4</v>
      </c>
      <c r="W2" s="84" t="s">
        <v>389</v>
      </c>
      <c r="X2" s="84"/>
    </row>
    <row r="3" spans="1:24" ht="16.5" thickBot="1" x14ac:dyDescent="0.3">
      <c r="A3" s="71">
        <v>1</v>
      </c>
      <c r="B3" s="68">
        <v>4</v>
      </c>
      <c r="C3" s="68">
        <v>3</v>
      </c>
      <c r="D3" s="68">
        <v>3</v>
      </c>
      <c r="E3" s="68">
        <v>3</v>
      </c>
      <c r="F3" s="68">
        <v>3</v>
      </c>
      <c r="G3" s="68">
        <v>4</v>
      </c>
      <c r="H3" s="68">
        <v>3</v>
      </c>
      <c r="I3" s="68">
        <v>3</v>
      </c>
      <c r="J3" s="68">
        <v>3</v>
      </c>
      <c r="K3" s="68">
        <v>4</v>
      </c>
      <c r="L3" s="69">
        <v>4</v>
      </c>
      <c r="M3" s="69">
        <v>4</v>
      </c>
      <c r="N3" s="69">
        <v>4</v>
      </c>
      <c r="O3" s="69">
        <v>4</v>
      </c>
      <c r="P3" s="69">
        <v>4</v>
      </c>
      <c r="Q3" s="70">
        <v>4</v>
      </c>
      <c r="R3" s="70">
        <v>4</v>
      </c>
      <c r="S3" s="70">
        <v>4</v>
      </c>
      <c r="T3" s="70">
        <v>4</v>
      </c>
      <c r="U3" s="83">
        <f>SUM(B3:T3)</f>
        <v>69</v>
      </c>
      <c r="W3" s="83" t="s">
        <v>114</v>
      </c>
      <c r="X3" s="83">
        <f>B12+C12+E12+J12+K12</f>
        <v>130</v>
      </c>
    </row>
    <row r="4" spans="1:24" ht="16.5" thickBot="1" x14ac:dyDescent="0.3">
      <c r="A4" s="71">
        <v>2</v>
      </c>
      <c r="B4" s="68">
        <v>4</v>
      </c>
      <c r="C4" s="68">
        <v>4</v>
      </c>
      <c r="D4" s="68">
        <v>4</v>
      </c>
      <c r="E4" s="68">
        <v>4</v>
      </c>
      <c r="F4" s="68">
        <v>4</v>
      </c>
      <c r="G4" s="68">
        <v>4</v>
      </c>
      <c r="H4" s="68">
        <v>4</v>
      </c>
      <c r="I4" s="68">
        <v>4</v>
      </c>
      <c r="J4" s="68">
        <v>4</v>
      </c>
      <c r="K4" s="68">
        <v>4</v>
      </c>
      <c r="L4" s="69">
        <v>4</v>
      </c>
      <c r="M4" s="69">
        <v>4</v>
      </c>
      <c r="N4" s="69">
        <v>4</v>
      </c>
      <c r="O4" s="69">
        <v>4</v>
      </c>
      <c r="P4" s="69">
        <v>4</v>
      </c>
      <c r="Q4" s="70">
        <v>3</v>
      </c>
      <c r="R4" s="70">
        <v>3</v>
      </c>
      <c r="S4" s="70">
        <v>3</v>
      </c>
      <c r="T4" s="70">
        <v>2</v>
      </c>
      <c r="U4" s="83">
        <f t="shared" ref="U4:U11" si="0">SUM(B4:T4)</f>
        <v>71</v>
      </c>
      <c r="W4" s="83" t="s">
        <v>222</v>
      </c>
      <c r="X4" s="83">
        <f>SUM(L12:P12)+0.6*(D12+F12+G12+H12+I12)</f>
        <v>186.39999999999998</v>
      </c>
    </row>
    <row r="5" spans="1:24" ht="16.5" thickBot="1" x14ac:dyDescent="0.3">
      <c r="A5" s="71">
        <v>3</v>
      </c>
      <c r="B5" s="68">
        <v>4</v>
      </c>
      <c r="C5" s="68">
        <v>4</v>
      </c>
      <c r="D5" s="68">
        <v>4</v>
      </c>
      <c r="E5" s="68">
        <v>4</v>
      </c>
      <c r="F5" s="68">
        <v>4</v>
      </c>
      <c r="G5" s="68">
        <v>4</v>
      </c>
      <c r="H5" s="68">
        <v>4</v>
      </c>
      <c r="I5" s="68">
        <v>4</v>
      </c>
      <c r="J5" s="68">
        <v>4</v>
      </c>
      <c r="K5" s="68">
        <v>4</v>
      </c>
      <c r="L5" s="69">
        <v>4</v>
      </c>
      <c r="M5" s="69">
        <v>4</v>
      </c>
      <c r="N5" s="69">
        <v>4</v>
      </c>
      <c r="O5" s="69">
        <v>4</v>
      </c>
      <c r="P5" s="69">
        <v>4</v>
      </c>
      <c r="Q5" s="70">
        <v>3</v>
      </c>
      <c r="R5" s="70">
        <v>3</v>
      </c>
      <c r="S5" s="70">
        <v>3</v>
      </c>
      <c r="T5" s="70">
        <v>2</v>
      </c>
      <c r="U5" s="83">
        <f t="shared" si="0"/>
        <v>71</v>
      </c>
      <c r="W5" s="83" t="s">
        <v>223</v>
      </c>
      <c r="X5" s="83">
        <f>SUM(Q12:T12)+0.4*(D12+F12+G12+H12+I12)</f>
        <v>145.6</v>
      </c>
    </row>
    <row r="6" spans="1:24" ht="16.5" thickBot="1" x14ac:dyDescent="0.3">
      <c r="A6" s="71">
        <v>4</v>
      </c>
      <c r="B6" s="68">
        <v>4</v>
      </c>
      <c r="C6" s="68">
        <v>4</v>
      </c>
      <c r="D6" s="68">
        <v>4</v>
      </c>
      <c r="E6" s="68">
        <v>4</v>
      </c>
      <c r="F6" s="68">
        <v>4</v>
      </c>
      <c r="G6" s="68">
        <v>4</v>
      </c>
      <c r="H6" s="68">
        <v>4</v>
      </c>
      <c r="I6" s="68">
        <v>4</v>
      </c>
      <c r="J6" s="68">
        <v>4</v>
      </c>
      <c r="K6" s="68">
        <v>4</v>
      </c>
      <c r="L6" s="69">
        <v>3</v>
      </c>
      <c r="M6" s="69">
        <v>3</v>
      </c>
      <c r="N6" s="69">
        <v>3</v>
      </c>
      <c r="O6" s="69">
        <v>3</v>
      </c>
      <c r="P6" s="69">
        <v>4</v>
      </c>
      <c r="Q6" s="70">
        <v>4</v>
      </c>
      <c r="R6" s="70">
        <v>4</v>
      </c>
      <c r="S6" s="70">
        <v>4</v>
      </c>
      <c r="T6" s="70">
        <v>3</v>
      </c>
      <c r="U6" s="83">
        <f t="shared" si="0"/>
        <v>71</v>
      </c>
    </row>
    <row r="7" spans="1:24" ht="16.5" thickBot="1" x14ac:dyDescent="0.3">
      <c r="A7" s="71">
        <v>5</v>
      </c>
      <c r="B7" s="68">
        <v>4</v>
      </c>
      <c r="C7" s="68">
        <v>4</v>
      </c>
      <c r="D7" s="68">
        <v>4</v>
      </c>
      <c r="E7" s="68">
        <v>4</v>
      </c>
      <c r="F7" s="68">
        <v>4</v>
      </c>
      <c r="G7" s="68">
        <v>4</v>
      </c>
      <c r="H7" s="68">
        <v>4</v>
      </c>
      <c r="I7" s="68">
        <v>4</v>
      </c>
      <c r="J7" s="68">
        <v>4</v>
      </c>
      <c r="K7" s="68">
        <v>4</v>
      </c>
      <c r="L7" s="69">
        <v>2</v>
      </c>
      <c r="M7" s="69">
        <v>2</v>
      </c>
      <c r="N7" s="69">
        <v>2</v>
      </c>
      <c r="O7" s="69">
        <v>2</v>
      </c>
      <c r="P7" s="69">
        <v>4</v>
      </c>
      <c r="Q7" s="70">
        <v>1</v>
      </c>
      <c r="R7" s="70">
        <v>1</v>
      </c>
      <c r="S7" s="70">
        <v>1</v>
      </c>
      <c r="T7" s="70">
        <v>3</v>
      </c>
      <c r="U7" s="83">
        <f t="shared" si="0"/>
        <v>58</v>
      </c>
    </row>
    <row r="8" spans="1:24" ht="16.5" thickBot="1" x14ac:dyDescent="0.3">
      <c r="A8" s="71">
        <v>6</v>
      </c>
      <c r="B8" s="68">
        <v>1</v>
      </c>
      <c r="C8" s="68">
        <v>1</v>
      </c>
      <c r="D8" s="68">
        <v>1</v>
      </c>
      <c r="E8" s="68">
        <v>1</v>
      </c>
      <c r="F8" s="68">
        <v>1</v>
      </c>
      <c r="G8" s="68">
        <v>1</v>
      </c>
      <c r="H8" s="68">
        <v>1</v>
      </c>
      <c r="I8" s="68">
        <v>1</v>
      </c>
      <c r="J8" s="68">
        <v>1</v>
      </c>
      <c r="K8" s="68">
        <v>1</v>
      </c>
      <c r="L8" s="69">
        <v>0</v>
      </c>
      <c r="M8" s="69">
        <v>0</v>
      </c>
      <c r="N8" s="69">
        <v>0</v>
      </c>
      <c r="O8" s="69">
        <v>0</v>
      </c>
      <c r="P8" s="69">
        <v>0</v>
      </c>
      <c r="Q8" s="70">
        <v>3</v>
      </c>
      <c r="R8" s="70">
        <v>3</v>
      </c>
      <c r="S8" s="70">
        <v>4</v>
      </c>
      <c r="T8" s="70">
        <v>3</v>
      </c>
      <c r="U8" s="83">
        <f t="shared" si="0"/>
        <v>23</v>
      </c>
    </row>
    <row r="9" spans="1:24" ht="16.5" thickBot="1" x14ac:dyDescent="0.3">
      <c r="A9" s="71">
        <v>7</v>
      </c>
      <c r="B9" s="68">
        <v>4</v>
      </c>
      <c r="C9" s="68">
        <v>2</v>
      </c>
      <c r="D9" s="68">
        <v>3</v>
      </c>
      <c r="E9" s="68">
        <v>3</v>
      </c>
      <c r="F9" s="68">
        <v>2</v>
      </c>
      <c r="G9" s="68">
        <v>4</v>
      </c>
      <c r="H9" s="68">
        <v>2</v>
      </c>
      <c r="I9" s="68">
        <v>3</v>
      </c>
      <c r="J9" s="68">
        <v>1</v>
      </c>
      <c r="K9" s="68">
        <v>4</v>
      </c>
      <c r="L9" s="69">
        <v>2</v>
      </c>
      <c r="M9" s="69">
        <v>2</v>
      </c>
      <c r="N9" s="69">
        <v>2</v>
      </c>
      <c r="O9" s="69">
        <v>2</v>
      </c>
      <c r="P9" s="69">
        <v>0</v>
      </c>
      <c r="Q9" s="70">
        <v>3</v>
      </c>
      <c r="R9" s="70">
        <v>3</v>
      </c>
      <c r="S9" s="70">
        <v>3</v>
      </c>
      <c r="T9" s="70">
        <v>0</v>
      </c>
      <c r="U9" s="83">
        <f t="shared" si="0"/>
        <v>45</v>
      </c>
    </row>
    <row r="10" spans="1:24" ht="16.5" thickBot="1" x14ac:dyDescent="0.3">
      <c r="A10" s="71">
        <v>8</v>
      </c>
      <c r="B10" s="68">
        <v>4</v>
      </c>
      <c r="C10" s="68">
        <v>2</v>
      </c>
      <c r="D10" s="68">
        <v>3</v>
      </c>
      <c r="E10" s="68">
        <v>3</v>
      </c>
      <c r="F10" s="68">
        <v>2</v>
      </c>
      <c r="G10" s="68">
        <v>4</v>
      </c>
      <c r="H10" s="68">
        <v>2</v>
      </c>
      <c r="I10" s="68">
        <v>3</v>
      </c>
      <c r="J10" s="68">
        <v>1</v>
      </c>
      <c r="K10" s="68">
        <v>4</v>
      </c>
      <c r="L10" s="69">
        <v>2</v>
      </c>
      <c r="M10" s="69">
        <v>2</v>
      </c>
      <c r="N10" s="69">
        <v>2</v>
      </c>
      <c r="O10" s="69">
        <v>2</v>
      </c>
      <c r="P10" s="69">
        <v>3</v>
      </c>
      <c r="Q10" s="70">
        <v>3</v>
      </c>
      <c r="R10" s="70">
        <v>3</v>
      </c>
      <c r="S10" s="70">
        <v>3</v>
      </c>
      <c r="T10" s="70">
        <v>0</v>
      </c>
      <c r="U10" s="83">
        <f t="shared" si="0"/>
        <v>48</v>
      </c>
    </row>
    <row r="11" spans="1:24" ht="16.5" thickBot="1" x14ac:dyDescent="0.3">
      <c r="A11" s="71">
        <v>9</v>
      </c>
      <c r="B11" s="68">
        <v>0</v>
      </c>
      <c r="C11" s="68">
        <v>0</v>
      </c>
      <c r="D11" s="68">
        <v>0</v>
      </c>
      <c r="E11" s="68">
        <v>0</v>
      </c>
      <c r="F11" s="68">
        <v>0</v>
      </c>
      <c r="G11" s="68">
        <v>0</v>
      </c>
      <c r="H11" s="68">
        <v>0</v>
      </c>
      <c r="I11" s="68">
        <v>0</v>
      </c>
      <c r="J11" s="68">
        <v>0</v>
      </c>
      <c r="K11" s="68">
        <v>0</v>
      </c>
      <c r="L11" s="69">
        <v>0</v>
      </c>
      <c r="M11" s="69">
        <v>0</v>
      </c>
      <c r="N11" s="69">
        <v>0</v>
      </c>
      <c r="O11" s="69">
        <v>0</v>
      </c>
      <c r="P11" s="69">
        <v>2</v>
      </c>
      <c r="Q11" s="70">
        <v>0</v>
      </c>
      <c r="R11" s="70">
        <v>0</v>
      </c>
      <c r="S11" s="70">
        <v>0</v>
      </c>
      <c r="T11" s="70">
        <v>4</v>
      </c>
      <c r="U11" s="83">
        <f t="shared" si="0"/>
        <v>6</v>
      </c>
    </row>
    <row r="12" spans="1:24" x14ac:dyDescent="0.25">
      <c r="A12" s="83" t="s">
        <v>388</v>
      </c>
      <c r="B12" s="83">
        <f>SUM(B3:B11)</f>
        <v>29</v>
      </c>
      <c r="C12" s="83">
        <f t="shared" ref="C12:T12" si="1">SUM(C3:C11)</f>
        <v>24</v>
      </c>
      <c r="D12" s="83">
        <f t="shared" si="1"/>
        <v>26</v>
      </c>
      <c r="E12" s="83">
        <f t="shared" si="1"/>
        <v>26</v>
      </c>
      <c r="F12" s="83">
        <f t="shared" si="1"/>
        <v>24</v>
      </c>
      <c r="G12" s="83">
        <f t="shared" si="1"/>
        <v>29</v>
      </c>
      <c r="H12" s="83">
        <f t="shared" si="1"/>
        <v>24</v>
      </c>
      <c r="I12" s="83">
        <f t="shared" si="1"/>
        <v>26</v>
      </c>
      <c r="J12" s="83">
        <f t="shared" si="1"/>
        <v>22</v>
      </c>
      <c r="K12" s="83">
        <f t="shared" si="1"/>
        <v>29</v>
      </c>
      <c r="L12" s="83">
        <f t="shared" si="1"/>
        <v>21</v>
      </c>
      <c r="M12" s="83">
        <f t="shared" si="1"/>
        <v>21</v>
      </c>
      <c r="N12" s="83">
        <f t="shared" si="1"/>
        <v>21</v>
      </c>
      <c r="O12" s="83">
        <f t="shared" si="1"/>
        <v>21</v>
      </c>
      <c r="P12" s="83">
        <f t="shared" si="1"/>
        <v>25</v>
      </c>
      <c r="Q12" s="83">
        <f t="shared" si="1"/>
        <v>24</v>
      </c>
      <c r="R12" s="83">
        <f t="shared" si="1"/>
        <v>24</v>
      </c>
      <c r="S12" s="83">
        <f t="shared" si="1"/>
        <v>25</v>
      </c>
      <c r="T12" s="83">
        <f t="shared" si="1"/>
        <v>21</v>
      </c>
      <c r="U12" s="83">
        <f>SUM(U3:U11)</f>
        <v>462</v>
      </c>
    </row>
  </sheetData>
  <mergeCells count="5">
    <mergeCell ref="A1:A2"/>
    <mergeCell ref="B1:K1"/>
    <mergeCell ref="L1:P1"/>
    <mergeCell ref="Q1:T1"/>
    <mergeCell ref="W2:X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54982-8A69-4385-B534-714D7CD117E9}">
  <dimension ref="A1:B67"/>
  <sheetViews>
    <sheetView topLeftCell="A19" workbookViewId="0">
      <selection activeCell="A28" sqref="A28"/>
    </sheetView>
  </sheetViews>
  <sheetFormatPr defaultRowHeight="15" x14ac:dyDescent="0.25"/>
  <cols>
    <col min="1" max="1" width="28.5703125" bestFit="1" customWidth="1"/>
    <col min="2" max="2" width="40.5703125" bestFit="1" customWidth="1"/>
  </cols>
  <sheetData>
    <row r="1" spans="1:2" x14ac:dyDescent="0.25">
      <c r="A1" t="s">
        <v>117</v>
      </c>
      <c r="B1" t="s">
        <v>75</v>
      </c>
    </row>
    <row r="2" spans="1:2" x14ac:dyDescent="0.25">
      <c r="A2" t="s">
        <v>118</v>
      </c>
      <c r="B2" t="s">
        <v>119</v>
      </c>
    </row>
    <row r="3" spans="1:2" x14ac:dyDescent="0.25">
      <c r="B3" t="s">
        <v>120</v>
      </c>
    </row>
    <row r="4" spans="1:2" x14ac:dyDescent="0.25">
      <c r="B4" t="s">
        <v>121</v>
      </c>
    </row>
    <row r="5" spans="1:2" x14ac:dyDescent="0.25">
      <c r="B5" t="s">
        <v>122</v>
      </c>
    </row>
    <row r="6" spans="1:2" x14ac:dyDescent="0.25">
      <c r="B6" t="s">
        <v>123</v>
      </c>
    </row>
    <row r="7" spans="1:2" x14ac:dyDescent="0.25">
      <c r="B7" t="s">
        <v>124</v>
      </c>
    </row>
    <row r="8" spans="1:2" x14ac:dyDescent="0.25">
      <c r="A8" t="s">
        <v>125</v>
      </c>
      <c r="B8" t="s">
        <v>78</v>
      </c>
    </row>
    <row r="9" spans="1:2" x14ac:dyDescent="0.25">
      <c r="B9" t="s">
        <v>126</v>
      </c>
    </row>
    <row r="10" spans="1:2" x14ac:dyDescent="0.25">
      <c r="B10" t="s">
        <v>79</v>
      </c>
    </row>
    <row r="11" spans="1:2" x14ac:dyDescent="0.25">
      <c r="B11" t="s">
        <v>127</v>
      </c>
    </row>
    <row r="12" spans="1:2" x14ac:dyDescent="0.25">
      <c r="B12" t="s">
        <v>128</v>
      </c>
    </row>
    <row r="13" spans="1:2" x14ac:dyDescent="0.25">
      <c r="B13" t="s">
        <v>129</v>
      </c>
    </row>
    <row r="14" spans="1:2" x14ac:dyDescent="0.25">
      <c r="A14" t="s">
        <v>130</v>
      </c>
      <c r="B14" t="s">
        <v>83</v>
      </c>
    </row>
    <row r="15" spans="1:2" x14ac:dyDescent="0.25">
      <c r="B15" t="s">
        <v>96</v>
      </c>
    </row>
    <row r="16" spans="1:2" x14ac:dyDescent="0.25">
      <c r="B16" t="s">
        <v>97</v>
      </c>
    </row>
    <row r="17" spans="1:2" x14ac:dyDescent="0.25">
      <c r="B17" t="s">
        <v>77</v>
      </c>
    </row>
    <row r="18" spans="1:2" x14ac:dyDescent="0.25">
      <c r="B18" t="s">
        <v>88</v>
      </c>
    </row>
    <row r="19" spans="1:2" x14ac:dyDescent="0.25">
      <c r="B19" t="s">
        <v>80</v>
      </c>
    </row>
    <row r="20" spans="1:2" x14ac:dyDescent="0.25">
      <c r="B20" t="s">
        <v>86</v>
      </c>
    </row>
    <row r="21" spans="1:2" x14ac:dyDescent="0.25">
      <c r="B21" t="s">
        <v>99</v>
      </c>
    </row>
    <row r="22" spans="1:2" x14ac:dyDescent="0.25">
      <c r="B22" t="s">
        <v>84</v>
      </c>
    </row>
    <row r="23" spans="1:2" x14ac:dyDescent="0.25">
      <c r="A23" t="s">
        <v>131</v>
      </c>
      <c r="B23" t="s">
        <v>89</v>
      </c>
    </row>
    <row r="24" spans="1:2" x14ac:dyDescent="0.25">
      <c r="B24" t="s">
        <v>132</v>
      </c>
    </row>
    <row r="25" spans="1:2" x14ac:dyDescent="0.25">
      <c r="B25" t="s">
        <v>133</v>
      </c>
    </row>
    <row r="26" spans="1:2" x14ac:dyDescent="0.25">
      <c r="B26" t="s">
        <v>91</v>
      </c>
    </row>
    <row r="27" spans="1:2" x14ac:dyDescent="0.25">
      <c r="B27" t="s">
        <v>109</v>
      </c>
    </row>
    <row r="28" spans="1:2" x14ac:dyDescent="0.25">
      <c r="B28" t="s">
        <v>87</v>
      </c>
    </row>
    <row r="29" spans="1:2" x14ac:dyDescent="0.25">
      <c r="B29" t="s">
        <v>103</v>
      </c>
    </row>
    <row r="30" spans="1:2" x14ac:dyDescent="0.25">
      <c r="B30" t="s">
        <v>105</v>
      </c>
    </row>
    <row r="31" spans="1:2" x14ac:dyDescent="0.25">
      <c r="B31" t="s">
        <v>134</v>
      </c>
    </row>
    <row r="32" spans="1:2" x14ac:dyDescent="0.25">
      <c r="B32" t="s">
        <v>135</v>
      </c>
    </row>
    <row r="33" spans="2:2" x14ac:dyDescent="0.25">
      <c r="B33" t="s">
        <v>136</v>
      </c>
    </row>
    <row r="34" spans="2:2" x14ac:dyDescent="0.25">
      <c r="B34" t="s">
        <v>102</v>
      </c>
    </row>
    <row r="35" spans="2:2" x14ac:dyDescent="0.25">
      <c r="B35" t="s">
        <v>137</v>
      </c>
    </row>
    <row r="36" spans="2:2" x14ac:dyDescent="0.25">
      <c r="B36" t="s">
        <v>138</v>
      </c>
    </row>
    <row r="37" spans="2:2" x14ac:dyDescent="0.25">
      <c r="B37" t="s">
        <v>95</v>
      </c>
    </row>
    <row r="38" spans="2:2" x14ac:dyDescent="0.25">
      <c r="B38" t="s">
        <v>139</v>
      </c>
    </row>
    <row r="39" spans="2:2" x14ac:dyDescent="0.25">
      <c r="B39" t="s">
        <v>140</v>
      </c>
    </row>
    <row r="40" spans="2:2" x14ac:dyDescent="0.25">
      <c r="B40" t="s">
        <v>85</v>
      </c>
    </row>
    <row r="41" spans="2:2" x14ac:dyDescent="0.25">
      <c r="B41" t="s">
        <v>81</v>
      </c>
    </row>
    <row r="42" spans="2:2" x14ac:dyDescent="0.25">
      <c r="B42" t="s">
        <v>141</v>
      </c>
    </row>
    <row r="43" spans="2:2" x14ac:dyDescent="0.25">
      <c r="B43" t="s">
        <v>98</v>
      </c>
    </row>
    <row r="44" spans="2:2" x14ac:dyDescent="0.25">
      <c r="B44" t="s">
        <v>142</v>
      </c>
    </row>
    <row r="45" spans="2:2" x14ac:dyDescent="0.25">
      <c r="B45" t="s">
        <v>143</v>
      </c>
    </row>
    <row r="46" spans="2:2" x14ac:dyDescent="0.25">
      <c r="B46" t="s">
        <v>144</v>
      </c>
    </row>
    <row r="47" spans="2:2" x14ac:dyDescent="0.25">
      <c r="B47" t="s">
        <v>145</v>
      </c>
    </row>
    <row r="48" spans="2:2" x14ac:dyDescent="0.25">
      <c r="B48" t="s">
        <v>146</v>
      </c>
    </row>
    <row r="49" spans="1:2" x14ac:dyDescent="0.25">
      <c r="B49" t="s">
        <v>147</v>
      </c>
    </row>
    <row r="50" spans="1:2" x14ac:dyDescent="0.25">
      <c r="B50" t="s">
        <v>148</v>
      </c>
    </row>
    <row r="51" spans="1:2" x14ac:dyDescent="0.25">
      <c r="A51" t="s">
        <v>149</v>
      </c>
      <c r="B51" t="s">
        <v>150</v>
      </c>
    </row>
    <row r="52" spans="1:2" x14ac:dyDescent="0.25">
      <c r="B52" t="s">
        <v>151</v>
      </c>
    </row>
    <row r="53" spans="1:2" x14ac:dyDescent="0.25">
      <c r="B53" t="s">
        <v>152</v>
      </c>
    </row>
    <row r="54" spans="1:2" x14ac:dyDescent="0.25">
      <c r="B54" t="s">
        <v>153</v>
      </c>
    </row>
    <row r="55" spans="1:2" x14ac:dyDescent="0.25">
      <c r="B55" t="s">
        <v>154</v>
      </c>
    </row>
    <row r="56" spans="1:2" x14ac:dyDescent="0.25">
      <c r="B56" t="s">
        <v>155</v>
      </c>
    </row>
    <row r="57" spans="1:2" x14ac:dyDescent="0.25">
      <c r="B57" t="s">
        <v>111</v>
      </c>
    </row>
    <row r="58" spans="1:2" x14ac:dyDescent="0.25">
      <c r="B58" t="s">
        <v>156</v>
      </c>
    </row>
    <row r="59" spans="1:2" x14ac:dyDescent="0.25">
      <c r="B59" t="s">
        <v>157</v>
      </c>
    </row>
    <row r="60" spans="1:2" x14ac:dyDescent="0.25">
      <c r="B60" t="s">
        <v>158</v>
      </c>
    </row>
    <row r="61" spans="1:2" x14ac:dyDescent="0.25">
      <c r="A61" t="s">
        <v>159</v>
      </c>
      <c r="B61" t="s">
        <v>160</v>
      </c>
    </row>
    <row r="62" spans="1:2" x14ac:dyDescent="0.25">
      <c r="B62" t="s">
        <v>161</v>
      </c>
    </row>
    <row r="63" spans="1:2" x14ac:dyDescent="0.25">
      <c r="B63" t="s">
        <v>90</v>
      </c>
    </row>
    <row r="64" spans="1:2" x14ac:dyDescent="0.25">
      <c r="B64" t="s">
        <v>162</v>
      </c>
    </row>
    <row r="65" spans="2:2" x14ac:dyDescent="0.25">
      <c r="B65" t="s">
        <v>163</v>
      </c>
    </row>
    <row r="66" spans="2:2" x14ac:dyDescent="0.25">
      <c r="B66" t="s">
        <v>164</v>
      </c>
    </row>
    <row r="67" spans="2:2" x14ac:dyDescent="0.25">
      <c r="B67" t="s">
        <v>115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A194B-B13B-44C8-A249-1A9E0DDAACA8}">
  <dimension ref="A1:H75"/>
  <sheetViews>
    <sheetView workbookViewId="0">
      <selection activeCell="F5" sqref="F5"/>
    </sheetView>
  </sheetViews>
  <sheetFormatPr defaultRowHeight="15" x14ac:dyDescent="0.25"/>
  <cols>
    <col min="1" max="1" width="31.28515625" bestFit="1" customWidth="1"/>
    <col min="2" max="2" width="15" bestFit="1" customWidth="1"/>
    <col min="4" max="4" width="3.5703125" style="18" bestFit="1" customWidth="1"/>
    <col min="5" max="5" width="42.7109375" style="18" bestFit="1" customWidth="1"/>
    <col min="6" max="6" width="46.28515625" style="22" customWidth="1"/>
    <col min="7" max="7" width="56.140625" style="8" customWidth="1"/>
    <col min="8" max="8" width="20.85546875" style="9" bestFit="1" customWidth="1"/>
  </cols>
  <sheetData>
    <row r="1" spans="1:8" x14ac:dyDescent="0.25">
      <c r="A1" s="24" t="s">
        <v>0</v>
      </c>
      <c r="B1" s="24" t="s">
        <v>1</v>
      </c>
      <c r="D1" s="16" t="s">
        <v>165</v>
      </c>
      <c r="E1" s="19" t="s">
        <v>76</v>
      </c>
      <c r="F1" s="20" t="s">
        <v>166</v>
      </c>
      <c r="G1" s="12" t="s">
        <v>196</v>
      </c>
      <c r="H1" s="11" t="s">
        <v>167</v>
      </c>
    </row>
    <row r="2" spans="1:8" ht="60" x14ac:dyDescent="0.25">
      <c r="A2" s="24" t="s">
        <v>2</v>
      </c>
      <c r="B2" s="24" t="s">
        <v>3</v>
      </c>
      <c r="D2" s="17">
        <v>1</v>
      </c>
      <c r="E2" s="17" t="s">
        <v>168</v>
      </c>
      <c r="F2" s="21" t="s">
        <v>169</v>
      </c>
      <c r="G2" s="15" t="s">
        <v>390</v>
      </c>
      <c r="H2" s="14" t="s">
        <v>397</v>
      </c>
    </row>
    <row r="3" spans="1:8" ht="60" x14ac:dyDescent="0.25">
      <c r="A3" s="24" t="s">
        <v>4</v>
      </c>
      <c r="B3" s="24" t="s">
        <v>5</v>
      </c>
      <c r="D3" s="17">
        <v>2</v>
      </c>
      <c r="E3" s="17" t="s">
        <v>170</v>
      </c>
      <c r="F3" s="21" t="s">
        <v>171</v>
      </c>
      <c r="G3" s="15" t="s">
        <v>391</v>
      </c>
      <c r="H3" s="14" t="s">
        <v>172</v>
      </c>
    </row>
    <row r="4" spans="1:8" ht="45" x14ac:dyDescent="0.25">
      <c r="A4" s="24" t="s">
        <v>6</v>
      </c>
      <c r="B4" s="24" t="s">
        <v>7</v>
      </c>
      <c r="D4" s="17">
        <v>3</v>
      </c>
      <c r="E4" s="17" t="s">
        <v>173</v>
      </c>
      <c r="F4" s="21" t="s">
        <v>174</v>
      </c>
      <c r="G4" s="15" t="s">
        <v>392</v>
      </c>
      <c r="H4" s="14" t="s">
        <v>175</v>
      </c>
    </row>
    <row r="5" spans="1:8" ht="60" x14ac:dyDescent="0.25">
      <c r="A5" s="24" t="s">
        <v>8</v>
      </c>
      <c r="B5" s="24" t="s">
        <v>9</v>
      </c>
      <c r="D5" s="17">
        <v>4</v>
      </c>
      <c r="E5" s="17" t="s">
        <v>176</v>
      </c>
      <c r="F5" s="21" t="s">
        <v>177</v>
      </c>
      <c r="G5" s="15" t="s">
        <v>393</v>
      </c>
      <c r="H5" s="14" t="s">
        <v>178</v>
      </c>
    </row>
    <row r="6" spans="1:8" ht="45" x14ac:dyDescent="0.25">
      <c r="A6" s="24" t="s">
        <v>10</v>
      </c>
      <c r="B6" s="24" t="s">
        <v>11</v>
      </c>
      <c r="D6" s="17">
        <v>5</v>
      </c>
      <c r="E6" s="17" t="s">
        <v>179</v>
      </c>
      <c r="F6" s="21" t="s">
        <v>180</v>
      </c>
      <c r="G6" s="15" t="s">
        <v>394</v>
      </c>
      <c r="H6" s="14" t="s">
        <v>181</v>
      </c>
    </row>
    <row r="7" spans="1:8" ht="45" x14ac:dyDescent="0.25">
      <c r="D7" s="17">
        <v>6</v>
      </c>
      <c r="E7" s="17" t="s">
        <v>182</v>
      </c>
      <c r="F7" s="21" t="s">
        <v>183</v>
      </c>
      <c r="G7" s="22" t="s">
        <v>395</v>
      </c>
      <c r="H7" s="14" t="s">
        <v>184</v>
      </c>
    </row>
    <row r="8" spans="1:8" ht="45" x14ac:dyDescent="0.25">
      <c r="D8" s="17">
        <v>7</v>
      </c>
      <c r="E8" s="17" t="s">
        <v>185</v>
      </c>
      <c r="F8" s="21" t="s">
        <v>186</v>
      </c>
      <c r="G8" s="15" t="s">
        <v>396</v>
      </c>
      <c r="H8" s="14" t="s">
        <v>187</v>
      </c>
    </row>
    <row r="11" spans="1:8" x14ac:dyDescent="0.25">
      <c r="D11" s="16" t="s">
        <v>165</v>
      </c>
      <c r="E11" s="19" t="s">
        <v>75</v>
      </c>
      <c r="F11" s="19" t="s">
        <v>197</v>
      </c>
      <c r="G11" s="16" t="s">
        <v>198</v>
      </c>
    </row>
    <row r="12" spans="1:8" x14ac:dyDescent="0.25">
      <c r="D12" s="17">
        <v>1</v>
      </c>
      <c r="E12" s="17" t="s">
        <v>119</v>
      </c>
      <c r="F12" s="17" t="s">
        <v>199</v>
      </c>
      <c r="G12" s="17" t="s">
        <v>200</v>
      </c>
    </row>
    <row r="13" spans="1:8" x14ac:dyDescent="0.25">
      <c r="D13" s="17">
        <v>2</v>
      </c>
      <c r="E13" s="17" t="s">
        <v>120</v>
      </c>
      <c r="F13" s="17" t="s">
        <v>199</v>
      </c>
      <c r="G13" s="17" t="s">
        <v>200</v>
      </c>
    </row>
    <row r="14" spans="1:8" x14ac:dyDescent="0.25">
      <c r="D14" s="17">
        <v>3</v>
      </c>
      <c r="E14" s="17" t="s">
        <v>121</v>
      </c>
      <c r="F14" s="17" t="s">
        <v>199</v>
      </c>
      <c r="G14" s="17" t="s">
        <v>201</v>
      </c>
    </row>
    <row r="15" spans="1:8" x14ac:dyDescent="0.25">
      <c r="D15" s="17">
        <v>4</v>
      </c>
      <c r="E15" s="17" t="s">
        <v>123</v>
      </c>
      <c r="F15" s="17" t="s">
        <v>199</v>
      </c>
      <c r="G15" s="17" t="s">
        <v>200</v>
      </c>
    </row>
    <row r="16" spans="1:8" x14ac:dyDescent="0.25">
      <c r="D16" s="17">
        <v>5</v>
      </c>
      <c r="E16" s="17" t="s">
        <v>122</v>
      </c>
      <c r="F16" s="17" t="s">
        <v>199</v>
      </c>
      <c r="G16" s="17" t="s">
        <v>200</v>
      </c>
    </row>
    <row r="17" spans="4:7" x14ac:dyDescent="0.25">
      <c r="D17" s="17">
        <v>6</v>
      </c>
      <c r="E17" s="17" t="s">
        <v>124</v>
      </c>
      <c r="F17" s="17" t="s">
        <v>199</v>
      </c>
      <c r="G17" s="17" t="s">
        <v>201</v>
      </c>
    </row>
    <row r="18" spans="4:7" x14ac:dyDescent="0.25">
      <c r="D18" s="17">
        <v>7</v>
      </c>
      <c r="E18" s="17" t="s">
        <v>77</v>
      </c>
      <c r="F18" s="17" t="s">
        <v>199</v>
      </c>
      <c r="G18" s="17" t="s">
        <v>202</v>
      </c>
    </row>
    <row r="19" spans="4:7" x14ac:dyDescent="0.25">
      <c r="D19" s="17">
        <v>8</v>
      </c>
      <c r="E19" s="17" t="s">
        <v>78</v>
      </c>
      <c r="F19" s="17" t="s">
        <v>24</v>
      </c>
      <c r="G19" s="17" t="s">
        <v>200</v>
      </c>
    </row>
    <row r="20" spans="4:7" x14ac:dyDescent="0.25">
      <c r="D20" s="17">
        <v>9</v>
      </c>
      <c r="E20" s="17" t="s">
        <v>126</v>
      </c>
      <c r="F20" s="17" t="s">
        <v>24</v>
      </c>
      <c r="G20" s="17" t="s">
        <v>200</v>
      </c>
    </row>
    <row r="21" spans="4:7" x14ac:dyDescent="0.25">
      <c r="D21" s="17">
        <v>10</v>
      </c>
      <c r="E21" s="17" t="s">
        <v>79</v>
      </c>
      <c r="F21" s="17" t="s">
        <v>24</v>
      </c>
      <c r="G21" s="17" t="s">
        <v>200</v>
      </c>
    </row>
    <row r="22" spans="4:7" x14ac:dyDescent="0.25">
      <c r="D22" s="17">
        <v>11</v>
      </c>
      <c r="E22" s="17" t="s">
        <v>127</v>
      </c>
      <c r="F22" s="17" t="s">
        <v>24</v>
      </c>
      <c r="G22" s="17" t="s">
        <v>200</v>
      </c>
    </row>
    <row r="23" spans="4:7" x14ac:dyDescent="0.25">
      <c r="D23" s="17">
        <v>12</v>
      </c>
      <c r="E23" s="17" t="s">
        <v>128</v>
      </c>
      <c r="F23" s="17" t="s">
        <v>24</v>
      </c>
      <c r="G23" s="17" t="s">
        <v>200</v>
      </c>
    </row>
    <row r="24" spans="4:7" x14ac:dyDescent="0.25">
      <c r="D24" s="17">
        <v>13</v>
      </c>
      <c r="E24" s="17" t="s">
        <v>129</v>
      </c>
      <c r="F24" s="17" t="s">
        <v>24</v>
      </c>
      <c r="G24" s="17" t="s">
        <v>200</v>
      </c>
    </row>
    <row r="25" spans="4:7" x14ac:dyDescent="0.25">
      <c r="D25" s="17">
        <v>14</v>
      </c>
      <c r="E25" s="17" t="s">
        <v>80</v>
      </c>
      <c r="F25" s="17" t="s">
        <v>24</v>
      </c>
      <c r="G25" s="17" t="s">
        <v>200</v>
      </c>
    </row>
    <row r="26" spans="4:7" x14ac:dyDescent="0.25">
      <c r="D26" s="17">
        <v>15</v>
      </c>
      <c r="E26" s="17" t="s">
        <v>81</v>
      </c>
      <c r="F26" s="17" t="s">
        <v>24</v>
      </c>
      <c r="G26" s="17" t="s">
        <v>201</v>
      </c>
    </row>
    <row r="27" spans="4:7" x14ac:dyDescent="0.25">
      <c r="D27" s="17">
        <v>16</v>
      </c>
      <c r="E27" s="17" t="s">
        <v>82</v>
      </c>
      <c r="F27" s="17" t="s">
        <v>24</v>
      </c>
      <c r="G27" s="17" t="s">
        <v>203</v>
      </c>
    </row>
    <row r="28" spans="4:7" x14ac:dyDescent="0.25">
      <c r="D28" s="17">
        <v>17</v>
      </c>
      <c r="E28" s="17" t="s">
        <v>83</v>
      </c>
      <c r="F28" s="17" t="s">
        <v>204</v>
      </c>
      <c r="G28" s="17" t="s">
        <v>200</v>
      </c>
    </row>
    <row r="29" spans="4:7" x14ac:dyDescent="0.25">
      <c r="D29" s="17">
        <v>18</v>
      </c>
      <c r="E29" s="17" t="s">
        <v>84</v>
      </c>
      <c r="F29" s="17" t="s">
        <v>204</v>
      </c>
      <c r="G29" s="17" t="s">
        <v>200</v>
      </c>
    </row>
    <row r="30" spans="4:7" x14ac:dyDescent="0.25">
      <c r="D30" s="17">
        <v>19</v>
      </c>
      <c r="E30" s="17" t="s">
        <v>85</v>
      </c>
      <c r="F30" s="17" t="s">
        <v>204</v>
      </c>
      <c r="G30" s="17" t="s">
        <v>200</v>
      </c>
    </row>
    <row r="31" spans="4:7" x14ac:dyDescent="0.25">
      <c r="D31" s="17">
        <v>20</v>
      </c>
      <c r="E31" s="17" t="s">
        <v>86</v>
      </c>
      <c r="F31" s="17" t="s">
        <v>204</v>
      </c>
      <c r="G31" s="17" t="s">
        <v>200</v>
      </c>
    </row>
    <row r="32" spans="4:7" x14ac:dyDescent="0.25">
      <c r="D32" s="17">
        <v>21</v>
      </c>
      <c r="E32" s="17" t="s">
        <v>106</v>
      </c>
      <c r="F32" s="17" t="s">
        <v>204</v>
      </c>
      <c r="G32" s="17" t="s">
        <v>200</v>
      </c>
    </row>
    <row r="33" spans="4:7" x14ac:dyDescent="0.25">
      <c r="D33" s="17">
        <v>22</v>
      </c>
      <c r="E33" s="17" t="s">
        <v>107</v>
      </c>
      <c r="F33" s="17" t="s">
        <v>204</v>
      </c>
      <c r="G33" s="17" t="s">
        <v>205</v>
      </c>
    </row>
    <row r="34" spans="4:7" x14ac:dyDescent="0.25">
      <c r="D34" s="17">
        <v>23</v>
      </c>
      <c r="E34" s="17" t="s">
        <v>87</v>
      </c>
      <c r="F34" s="17" t="s">
        <v>20</v>
      </c>
      <c r="G34" s="17" t="s">
        <v>200</v>
      </c>
    </row>
    <row r="35" spans="4:7" x14ac:dyDescent="0.25">
      <c r="D35" s="17">
        <v>24</v>
      </c>
      <c r="E35" s="17" t="s">
        <v>139</v>
      </c>
      <c r="F35" s="17" t="s">
        <v>20</v>
      </c>
      <c r="G35" s="17" t="s">
        <v>203</v>
      </c>
    </row>
    <row r="36" spans="4:7" x14ac:dyDescent="0.25">
      <c r="D36" s="17">
        <v>25</v>
      </c>
      <c r="E36" s="17" t="s">
        <v>140</v>
      </c>
      <c r="F36" s="17" t="s">
        <v>20</v>
      </c>
      <c r="G36" s="17" t="s">
        <v>200</v>
      </c>
    </row>
    <row r="37" spans="4:7" x14ac:dyDescent="0.25">
      <c r="D37" s="17">
        <v>26</v>
      </c>
      <c r="E37" s="17" t="s">
        <v>98</v>
      </c>
      <c r="F37" s="17" t="s">
        <v>20</v>
      </c>
      <c r="G37" s="17" t="s">
        <v>200</v>
      </c>
    </row>
    <row r="38" spans="4:7" x14ac:dyDescent="0.25">
      <c r="D38" s="17">
        <v>27</v>
      </c>
      <c r="E38" s="17" t="s">
        <v>88</v>
      </c>
      <c r="F38" s="17" t="s">
        <v>20</v>
      </c>
      <c r="G38" s="17" t="s">
        <v>200</v>
      </c>
    </row>
    <row r="39" spans="4:7" x14ac:dyDescent="0.25">
      <c r="D39" s="17">
        <v>28</v>
      </c>
      <c r="E39" s="17" t="s">
        <v>99</v>
      </c>
      <c r="F39" s="17" t="s">
        <v>34</v>
      </c>
      <c r="G39" s="17" t="s">
        <v>200</v>
      </c>
    </row>
    <row r="40" spans="4:7" x14ac:dyDescent="0.25">
      <c r="D40" s="17">
        <v>29</v>
      </c>
      <c r="E40" s="17" t="s">
        <v>100</v>
      </c>
      <c r="F40" s="17" t="s">
        <v>54</v>
      </c>
      <c r="G40" s="17" t="s">
        <v>206</v>
      </c>
    </row>
    <row r="41" spans="4:7" x14ac:dyDescent="0.25">
      <c r="D41" s="17">
        <v>30</v>
      </c>
      <c r="E41" s="17" t="s">
        <v>101</v>
      </c>
      <c r="F41" s="17" t="s">
        <v>54</v>
      </c>
      <c r="G41" s="17" t="s">
        <v>207</v>
      </c>
    </row>
    <row r="42" spans="4:7" x14ac:dyDescent="0.25">
      <c r="D42" s="17">
        <v>31</v>
      </c>
      <c r="E42" s="17" t="s">
        <v>105</v>
      </c>
      <c r="F42" s="17" t="s">
        <v>54</v>
      </c>
      <c r="G42" s="17" t="s">
        <v>200</v>
      </c>
    </row>
    <row r="43" spans="4:7" x14ac:dyDescent="0.25">
      <c r="D43" s="17">
        <v>32</v>
      </c>
      <c r="E43" s="17" t="s">
        <v>103</v>
      </c>
      <c r="F43" s="17" t="s">
        <v>204</v>
      </c>
      <c r="G43" s="17" t="s">
        <v>203</v>
      </c>
    </row>
    <row r="44" spans="4:7" x14ac:dyDescent="0.25">
      <c r="D44" s="17">
        <v>33</v>
      </c>
      <c r="E44" s="17" t="s">
        <v>89</v>
      </c>
      <c r="F44" s="17" t="s">
        <v>32</v>
      </c>
      <c r="G44" s="17" t="s">
        <v>200</v>
      </c>
    </row>
    <row r="45" spans="4:7" x14ac:dyDescent="0.25">
      <c r="D45" s="17">
        <v>34</v>
      </c>
      <c r="E45" s="17" t="s">
        <v>90</v>
      </c>
      <c r="F45" s="17" t="s">
        <v>32</v>
      </c>
      <c r="G45" s="17" t="s">
        <v>200</v>
      </c>
    </row>
    <row r="46" spans="4:7" x14ac:dyDescent="0.25">
      <c r="D46" s="17">
        <v>35</v>
      </c>
      <c r="E46" s="17" t="s">
        <v>91</v>
      </c>
      <c r="F46" s="17" t="s">
        <v>32</v>
      </c>
      <c r="G46" s="17" t="s">
        <v>208</v>
      </c>
    </row>
    <row r="47" spans="4:7" x14ac:dyDescent="0.25">
      <c r="D47" s="17">
        <v>36</v>
      </c>
      <c r="E47" s="17" t="s">
        <v>95</v>
      </c>
      <c r="F47" s="17" t="s">
        <v>32</v>
      </c>
      <c r="G47" s="17" t="s">
        <v>200</v>
      </c>
    </row>
    <row r="48" spans="4:7" x14ac:dyDescent="0.25">
      <c r="D48" s="17">
        <v>37</v>
      </c>
      <c r="E48" s="17" t="s">
        <v>94</v>
      </c>
      <c r="F48" s="17" t="s">
        <v>32</v>
      </c>
      <c r="G48" s="17" t="s">
        <v>203</v>
      </c>
    </row>
    <row r="49" spans="4:7" x14ac:dyDescent="0.25">
      <c r="D49" s="17">
        <v>38</v>
      </c>
      <c r="E49" s="17" t="s">
        <v>92</v>
      </c>
      <c r="F49" s="17" t="s">
        <v>32</v>
      </c>
      <c r="G49" s="17" t="s">
        <v>200</v>
      </c>
    </row>
    <row r="50" spans="4:7" x14ac:dyDescent="0.25">
      <c r="D50" s="17">
        <v>39</v>
      </c>
      <c r="E50" s="17" t="s">
        <v>93</v>
      </c>
      <c r="F50" s="17" t="s">
        <v>32</v>
      </c>
      <c r="G50" s="17" t="s">
        <v>200</v>
      </c>
    </row>
    <row r="51" spans="4:7" x14ac:dyDescent="0.25">
      <c r="D51" s="17">
        <v>40</v>
      </c>
      <c r="E51" s="17" t="s">
        <v>143</v>
      </c>
      <c r="F51" s="17" t="s">
        <v>204</v>
      </c>
      <c r="G51" s="17" t="s">
        <v>200</v>
      </c>
    </row>
    <row r="52" spans="4:7" x14ac:dyDescent="0.25">
      <c r="D52" s="17">
        <v>41</v>
      </c>
      <c r="E52" s="17" t="s">
        <v>190</v>
      </c>
      <c r="F52" s="17" t="s">
        <v>204</v>
      </c>
      <c r="G52" s="17" t="s">
        <v>200</v>
      </c>
    </row>
    <row r="53" spans="4:7" x14ac:dyDescent="0.25">
      <c r="D53" s="17">
        <v>42</v>
      </c>
      <c r="E53" s="17" t="s">
        <v>195</v>
      </c>
      <c r="F53" s="17" t="s">
        <v>204</v>
      </c>
      <c r="G53" s="17" t="s">
        <v>200</v>
      </c>
    </row>
    <row r="54" spans="4:7" x14ac:dyDescent="0.25">
      <c r="D54" s="17">
        <v>43</v>
      </c>
      <c r="E54" s="17" t="s">
        <v>104</v>
      </c>
      <c r="F54" s="17" t="s">
        <v>204</v>
      </c>
      <c r="G54" s="17" t="s">
        <v>200</v>
      </c>
    </row>
    <row r="55" spans="4:7" x14ac:dyDescent="0.25">
      <c r="D55" s="17">
        <v>44</v>
      </c>
      <c r="E55" s="17" t="s">
        <v>142</v>
      </c>
      <c r="F55" s="17" t="s">
        <v>204</v>
      </c>
      <c r="G55" s="17" t="s">
        <v>200</v>
      </c>
    </row>
    <row r="56" spans="4:7" x14ac:dyDescent="0.25">
      <c r="D56" s="17">
        <v>45</v>
      </c>
      <c r="E56" s="17" t="s">
        <v>102</v>
      </c>
      <c r="F56" s="17" t="s">
        <v>204</v>
      </c>
      <c r="G56" s="17" t="s">
        <v>200</v>
      </c>
    </row>
    <row r="57" spans="4:7" x14ac:dyDescent="0.25">
      <c r="D57" s="17">
        <v>46</v>
      </c>
      <c r="E57" s="17" t="s">
        <v>109</v>
      </c>
      <c r="F57" s="17" t="s">
        <v>24</v>
      </c>
      <c r="G57" s="17" t="s">
        <v>200</v>
      </c>
    </row>
    <row r="58" spans="4:7" x14ac:dyDescent="0.25">
      <c r="D58" s="17">
        <v>47</v>
      </c>
      <c r="E58" s="17" t="s">
        <v>108</v>
      </c>
      <c r="F58" s="17" t="s">
        <v>24</v>
      </c>
      <c r="G58" s="17" t="s">
        <v>200</v>
      </c>
    </row>
    <row r="59" spans="4:7" x14ac:dyDescent="0.25">
      <c r="D59" s="17">
        <v>48</v>
      </c>
      <c r="E59" s="17" t="s">
        <v>111</v>
      </c>
      <c r="F59" s="17" t="s">
        <v>24</v>
      </c>
      <c r="G59" s="17" t="s">
        <v>200</v>
      </c>
    </row>
    <row r="60" spans="4:7" x14ac:dyDescent="0.25">
      <c r="D60" s="17">
        <v>49</v>
      </c>
      <c r="E60" s="17" t="s">
        <v>157</v>
      </c>
      <c r="F60" s="17" t="s">
        <v>24</v>
      </c>
      <c r="G60" s="17" t="s">
        <v>200</v>
      </c>
    </row>
    <row r="61" spans="4:7" x14ac:dyDescent="0.25">
      <c r="D61" s="17">
        <v>50</v>
      </c>
      <c r="E61" s="17" t="s">
        <v>158</v>
      </c>
      <c r="F61" s="17" t="s">
        <v>24</v>
      </c>
      <c r="G61" s="17" t="s">
        <v>200</v>
      </c>
    </row>
    <row r="62" spans="4:7" x14ac:dyDescent="0.25">
      <c r="D62" s="17">
        <v>51</v>
      </c>
      <c r="E62" s="17" t="s">
        <v>110</v>
      </c>
      <c r="F62" s="17" t="s">
        <v>24</v>
      </c>
      <c r="G62" s="17" t="s">
        <v>200</v>
      </c>
    </row>
    <row r="63" spans="4:7" x14ac:dyDescent="0.25">
      <c r="D63" s="17">
        <v>52</v>
      </c>
      <c r="E63" s="17" t="s">
        <v>112</v>
      </c>
      <c r="F63" s="17" t="s">
        <v>24</v>
      </c>
      <c r="G63" s="17" t="s">
        <v>208</v>
      </c>
    </row>
    <row r="64" spans="4:7" x14ac:dyDescent="0.25">
      <c r="D64" s="17">
        <v>53</v>
      </c>
      <c r="E64" s="17" t="s">
        <v>113</v>
      </c>
      <c r="F64" s="17" t="s">
        <v>24</v>
      </c>
      <c r="G64" s="17" t="s">
        <v>209</v>
      </c>
    </row>
    <row r="65" spans="4:7" x14ac:dyDescent="0.25">
      <c r="D65" s="17">
        <v>54</v>
      </c>
      <c r="E65" s="17" t="s">
        <v>210</v>
      </c>
      <c r="F65" s="17" t="s">
        <v>20</v>
      </c>
      <c r="G65" s="17" t="s">
        <v>200</v>
      </c>
    </row>
    <row r="66" spans="4:7" x14ac:dyDescent="0.25">
      <c r="D66" s="17">
        <v>55</v>
      </c>
      <c r="E66" s="17" t="s">
        <v>154</v>
      </c>
      <c r="F66" s="17" t="s">
        <v>54</v>
      </c>
      <c r="G66" s="17" t="s">
        <v>200</v>
      </c>
    </row>
    <row r="67" spans="4:7" x14ac:dyDescent="0.25">
      <c r="D67" s="17">
        <v>56</v>
      </c>
      <c r="E67" s="17" t="s">
        <v>152</v>
      </c>
      <c r="F67" s="17" t="s">
        <v>204</v>
      </c>
      <c r="G67" s="17" t="s">
        <v>200</v>
      </c>
    </row>
    <row r="68" spans="4:7" x14ac:dyDescent="0.25">
      <c r="D68" s="17">
        <v>57</v>
      </c>
      <c r="E68" s="17" t="s">
        <v>150</v>
      </c>
      <c r="F68" s="17" t="s">
        <v>32</v>
      </c>
      <c r="G68" s="17" t="s">
        <v>200</v>
      </c>
    </row>
    <row r="69" spans="4:7" x14ac:dyDescent="0.25">
      <c r="D69" s="17">
        <v>58</v>
      </c>
      <c r="E69" s="17" t="s">
        <v>211</v>
      </c>
      <c r="F69" s="17" t="s">
        <v>32</v>
      </c>
      <c r="G69" s="17" t="s">
        <v>200</v>
      </c>
    </row>
    <row r="70" spans="4:7" x14ac:dyDescent="0.25">
      <c r="D70" s="17">
        <v>59</v>
      </c>
      <c r="E70" s="17" t="s">
        <v>160</v>
      </c>
      <c r="F70" s="17" t="s">
        <v>32</v>
      </c>
      <c r="G70" s="17" t="s">
        <v>200</v>
      </c>
    </row>
    <row r="71" spans="4:7" x14ac:dyDescent="0.25">
      <c r="D71" s="17">
        <v>60</v>
      </c>
      <c r="E71" s="17" t="s">
        <v>162</v>
      </c>
      <c r="F71" s="17" t="s">
        <v>32</v>
      </c>
      <c r="G71" s="17" t="s">
        <v>200</v>
      </c>
    </row>
    <row r="72" spans="4:7" x14ac:dyDescent="0.25">
      <c r="D72" s="17">
        <v>61</v>
      </c>
      <c r="E72" s="17" t="s">
        <v>161</v>
      </c>
      <c r="F72" s="17" t="s">
        <v>32</v>
      </c>
      <c r="G72" s="17" t="s">
        <v>200</v>
      </c>
    </row>
    <row r="73" spans="4:7" x14ac:dyDescent="0.25">
      <c r="D73" s="17">
        <v>62</v>
      </c>
      <c r="E73" s="17" t="s">
        <v>164</v>
      </c>
      <c r="F73" s="17" t="s">
        <v>32</v>
      </c>
      <c r="G73" s="17" t="s">
        <v>200</v>
      </c>
    </row>
    <row r="74" spans="4:7" x14ac:dyDescent="0.25">
      <c r="D74" s="17">
        <v>63</v>
      </c>
      <c r="E74" s="17" t="s">
        <v>163</v>
      </c>
      <c r="F74" s="17" t="s">
        <v>32</v>
      </c>
      <c r="G74" s="17" t="s">
        <v>200</v>
      </c>
    </row>
    <row r="75" spans="4:7" x14ac:dyDescent="0.25">
      <c r="D75" s="17">
        <v>64</v>
      </c>
      <c r="E75" s="17" t="s">
        <v>115</v>
      </c>
      <c r="F75" s="17" t="s">
        <v>32</v>
      </c>
      <c r="G75" s="17" t="s">
        <v>209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44C48-2BCE-46FD-ABF2-48EAE66A0569}">
  <dimension ref="A1:D28"/>
  <sheetViews>
    <sheetView workbookViewId="0">
      <selection activeCell="C27" sqref="C27"/>
    </sheetView>
  </sheetViews>
  <sheetFormatPr defaultRowHeight="15" x14ac:dyDescent="0.25"/>
  <cols>
    <col min="1" max="1" width="6" style="3" bestFit="1" customWidth="1"/>
    <col min="2" max="2" width="41" style="3" bestFit="1" customWidth="1"/>
    <col min="3" max="3" width="108.42578125" style="3" bestFit="1" customWidth="1"/>
    <col min="4" max="4" width="34.85546875" style="3" bestFit="1" customWidth="1"/>
  </cols>
  <sheetData>
    <row r="1" spans="1:4" x14ac:dyDescent="0.25">
      <c r="A1" s="1" t="s">
        <v>12</v>
      </c>
      <c r="B1" s="1" t="s">
        <v>116</v>
      </c>
      <c r="C1" s="1" t="s">
        <v>13</v>
      </c>
      <c r="D1" s="1" t="s">
        <v>14</v>
      </c>
    </row>
    <row r="2" spans="1:4" x14ac:dyDescent="0.25">
      <c r="A2" s="2" t="s">
        <v>15</v>
      </c>
      <c r="B2" s="2" t="s">
        <v>16</v>
      </c>
      <c r="C2" s="2" t="s">
        <v>17</v>
      </c>
      <c r="D2" s="2" t="s">
        <v>18</v>
      </c>
    </row>
    <row r="3" spans="1:4" x14ac:dyDescent="0.25">
      <c r="A3" s="2" t="s">
        <v>15</v>
      </c>
      <c r="B3" s="2" t="s">
        <v>16</v>
      </c>
      <c r="C3" s="2" t="s">
        <v>19</v>
      </c>
      <c r="D3" s="2" t="s">
        <v>20</v>
      </c>
    </row>
    <row r="4" spans="1:4" x14ac:dyDescent="0.25">
      <c r="A4" s="2" t="s">
        <v>21</v>
      </c>
      <c r="B4" s="2" t="s">
        <v>22</v>
      </c>
      <c r="C4" s="2" t="s">
        <v>23</v>
      </c>
      <c r="D4" s="2" t="s">
        <v>24</v>
      </c>
    </row>
    <row r="5" spans="1:4" x14ac:dyDescent="0.25">
      <c r="A5" s="2" t="s">
        <v>21</v>
      </c>
      <c r="B5" s="2" t="s">
        <v>22</v>
      </c>
      <c r="C5" s="2" t="s">
        <v>25</v>
      </c>
      <c r="D5" s="2" t="s">
        <v>24</v>
      </c>
    </row>
    <row r="6" spans="1:4" x14ac:dyDescent="0.25">
      <c r="A6" s="2" t="s">
        <v>21</v>
      </c>
      <c r="B6" s="2" t="s">
        <v>22</v>
      </c>
      <c r="C6" s="2" t="s">
        <v>26</v>
      </c>
      <c r="D6" s="2" t="s">
        <v>24</v>
      </c>
    </row>
    <row r="7" spans="1:4" x14ac:dyDescent="0.25">
      <c r="A7" s="2" t="s">
        <v>27</v>
      </c>
      <c r="B7" s="2" t="s">
        <v>28</v>
      </c>
      <c r="C7" s="2" t="s">
        <v>29</v>
      </c>
      <c r="D7" s="2" t="s">
        <v>30</v>
      </c>
    </row>
    <row r="8" spans="1:4" x14ac:dyDescent="0.25">
      <c r="A8" s="2" t="s">
        <v>27</v>
      </c>
      <c r="B8" s="2" t="s">
        <v>28</v>
      </c>
      <c r="C8" s="2" t="s">
        <v>31</v>
      </c>
      <c r="D8" s="2" t="s">
        <v>32</v>
      </c>
    </row>
    <row r="9" spans="1:4" x14ac:dyDescent="0.25">
      <c r="A9" s="2" t="s">
        <v>27</v>
      </c>
      <c r="B9" s="2" t="s">
        <v>28</v>
      </c>
      <c r="C9" s="2" t="s">
        <v>33</v>
      </c>
      <c r="D9" s="2" t="s">
        <v>34</v>
      </c>
    </row>
    <row r="10" spans="1:4" x14ac:dyDescent="0.25">
      <c r="A10" s="2" t="s">
        <v>35</v>
      </c>
      <c r="B10" s="2" t="s">
        <v>36</v>
      </c>
      <c r="C10" s="2" t="s">
        <v>37</v>
      </c>
      <c r="D10" s="2" t="s">
        <v>32</v>
      </c>
    </row>
    <row r="11" spans="1:4" x14ac:dyDescent="0.25">
      <c r="A11" s="2" t="s">
        <v>35</v>
      </c>
      <c r="B11" s="2" t="s">
        <v>36</v>
      </c>
      <c r="C11" s="2" t="s">
        <v>38</v>
      </c>
      <c r="D11" s="2" t="s">
        <v>32</v>
      </c>
    </row>
    <row r="12" spans="1:4" x14ac:dyDescent="0.25">
      <c r="A12" s="2" t="s">
        <v>39</v>
      </c>
      <c r="B12" s="2" t="s">
        <v>40</v>
      </c>
      <c r="C12" s="2" t="s">
        <v>41</v>
      </c>
      <c r="D12" s="2" t="s">
        <v>30</v>
      </c>
    </row>
    <row r="13" spans="1:4" x14ac:dyDescent="0.25">
      <c r="A13" s="2" t="s">
        <v>39</v>
      </c>
      <c r="B13" s="2" t="s">
        <v>40</v>
      </c>
      <c r="C13" s="2" t="s">
        <v>42</v>
      </c>
      <c r="D13" s="2" t="s">
        <v>24</v>
      </c>
    </row>
    <row r="14" spans="1:4" x14ac:dyDescent="0.25">
      <c r="A14" s="2" t="s">
        <v>43</v>
      </c>
      <c r="B14" s="2" t="s">
        <v>44</v>
      </c>
      <c r="C14" s="2" t="s">
        <v>45</v>
      </c>
      <c r="D14" s="2" t="s">
        <v>30</v>
      </c>
    </row>
    <row r="15" spans="1:4" x14ac:dyDescent="0.25">
      <c r="A15" s="2" t="s">
        <v>43</v>
      </c>
      <c r="B15" s="2" t="s">
        <v>44</v>
      </c>
      <c r="C15" s="2" t="s">
        <v>46</v>
      </c>
      <c r="D15" s="2" t="s">
        <v>24</v>
      </c>
    </row>
    <row r="16" spans="1:4" x14ac:dyDescent="0.25">
      <c r="A16" s="2" t="s">
        <v>47</v>
      </c>
      <c r="B16" s="2" t="s">
        <v>48</v>
      </c>
      <c r="C16" s="2" t="s">
        <v>49</v>
      </c>
      <c r="D16" s="2" t="s">
        <v>24</v>
      </c>
    </row>
    <row r="17" spans="1:4" x14ac:dyDescent="0.25">
      <c r="A17" s="2" t="s">
        <v>47</v>
      </c>
      <c r="B17" s="2" t="s">
        <v>48</v>
      </c>
      <c r="C17" s="2" t="s">
        <v>50</v>
      </c>
      <c r="D17" s="2" t="s">
        <v>24</v>
      </c>
    </row>
    <row r="18" spans="1:4" x14ac:dyDescent="0.25">
      <c r="A18" s="2" t="s">
        <v>51</v>
      </c>
      <c r="B18" s="2" t="s">
        <v>52</v>
      </c>
      <c r="C18" s="2" t="s">
        <v>53</v>
      </c>
      <c r="D18" s="2" t="s">
        <v>54</v>
      </c>
    </row>
    <row r="19" spans="1:4" x14ac:dyDescent="0.25">
      <c r="A19" s="2" t="s">
        <v>51</v>
      </c>
      <c r="B19" s="2" t="s">
        <v>52</v>
      </c>
      <c r="C19" s="2" t="s">
        <v>55</v>
      </c>
      <c r="D19" s="2" t="s">
        <v>54</v>
      </c>
    </row>
    <row r="20" spans="1:4" x14ac:dyDescent="0.25">
      <c r="A20" s="2" t="s">
        <v>51</v>
      </c>
      <c r="B20" s="2" t="s">
        <v>52</v>
      </c>
      <c r="C20" s="2" t="s">
        <v>56</v>
      </c>
      <c r="D20" s="2" t="s">
        <v>20</v>
      </c>
    </row>
    <row r="21" spans="1:4" x14ac:dyDescent="0.25">
      <c r="A21" s="2" t="s">
        <v>57</v>
      </c>
      <c r="B21" s="2" t="s">
        <v>58</v>
      </c>
      <c r="C21" s="2" t="s">
        <v>59</v>
      </c>
      <c r="D21" s="2" t="s">
        <v>24</v>
      </c>
    </row>
    <row r="22" spans="1:4" x14ac:dyDescent="0.25">
      <c r="A22" s="2" t="s">
        <v>57</v>
      </c>
      <c r="B22" s="2" t="s">
        <v>58</v>
      </c>
      <c r="C22" s="2" t="s">
        <v>60</v>
      </c>
      <c r="D22" s="2" t="s">
        <v>24</v>
      </c>
    </row>
    <row r="23" spans="1:4" x14ac:dyDescent="0.25">
      <c r="A23" s="2" t="s">
        <v>61</v>
      </c>
      <c r="B23" s="2" t="s">
        <v>62</v>
      </c>
      <c r="C23" s="2" t="s">
        <v>63</v>
      </c>
      <c r="D23" s="2" t="s">
        <v>54</v>
      </c>
    </row>
    <row r="24" spans="1:4" x14ac:dyDescent="0.25">
      <c r="A24" s="2" t="s">
        <v>64</v>
      </c>
      <c r="B24" s="2" t="s">
        <v>65</v>
      </c>
      <c r="C24" s="2" t="s">
        <v>66</v>
      </c>
      <c r="D24" s="2" t="s">
        <v>24</v>
      </c>
    </row>
    <row r="25" spans="1:4" x14ac:dyDescent="0.25">
      <c r="A25" s="2" t="s">
        <v>67</v>
      </c>
      <c r="B25" s="2" t="s">
        <v>68</v>
      </c>
      <c r="C25" s="2" t="s">
        <v>69</v>
      </c>
      <c r="D25" s="2" t="s">
        <v>24</v>
      </c>
    </row>
    <row r="26" spans="1:4" x14ac:dyDescent="0.25">
      <c r="A26" s="2" t="s">
        <v>70</v>
      </c>
      <c r="B26" s="2" t="s">
        <v>71</v>
      </c>
      <c r="C26" s="2" t="s">
        <v>72</v>
      </c>
      <c r="D26" s="2" t="s">
        <v>32</v>
      </c>
    </row>
    <row r="27" spans="1:4" x14ac:dyDescent="0.25">
      <c r="A27" s="2" t="s">
        <v>70</v>
      </c>
      <c r="B27" s="2" t="s">
        <v>71</v>
      </c>
      <c r="C27" s="2" t="s">
        <v>73</v>
      </c>
      <c r="D27" s="2" t="s">
        <v>32</v>
      </c>
    </row>
    <row r="28" spans="1:4" x14ac:dyDescent="0.25">
      <c r="A28" s="2" t="s">
        <v>70</v>
      </c>
      <c r="B28" s="2" t="s">
        <v>71</v>
      </c>
      <c r="C28" s="2" t="s">
        <v>74</v>
      </c>
      <c r="D28" s="2" t="s">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12CB0-88F6-4CD6-ADC1-D8B121D6608B}">
  <dimension ref="A1:B67"/>
  <sheetViews>
    <sheetView topLeftCell="A10" workbookViewId="0">
      <selection activeCell="C79" sqref="C79"/>
    </sheetView>
  </sheetViews>
  <sheetFormatPr defaultRowHeight="15.75" x14ac:dyDescent="0.25"/>
  <cols>
    <col min="1" max="1" width="7.140625" style="4" bestFit="1" customWidth="1"/>
    <col min="2" max="2" width="40.5703125" style="4" bestFit="1" customWidth="1"/>
    <col min="3" max="16384" width="9.140625" style="4"/>
  </cols>
  <sheetData>
    <row r="1" spans="1:2" x14ac:dyDescent="0.25">
      <c r="A1" s="5" t="s">
        <v>212</v>
      </c>
      <c r="B1" s="23" t="s">
        <v>189</v>
      </c>
    </row>
    <row r="2" spans="1:2" x14ac:dyDescent="0.25">
      <c r="A2" s="4">
        <v>1</v>
      </c>
      <c r="B2" t="s">
        <v>162</v>
      </c>
    </row>
    <row r="3" spans="1:2" x14ac:dyDescent="0.25">
      <c r="A3" s="4">
        <v>2</v>
      </c>
      <c r="B3" t="s">
        <v>93</v>
      </c>
    </row>
    <row r="4" spans="1:2" x14ac:dyDescent="0.25">
      <c r="A4" s="4">
        <v>3</v>
      </c>
      <c r="B4" t="s">
        <v>190</v>
      </c>
    </row>
    <row r="5" spans="1:2" x14ac:dyDescent="0.25">
      <c r="A5" s="4">
        <v>4</v>
      </c>
      <c r="B5" t="s">
        <v>160</v>
      </c>
    </row>
    <row r="6" spans="1:2" x14ac:dyDescent="0.25">
      <c r="A6" s="4">
        <v>5</v>
      </c>
      <c r="B6" t="s">
        <v>111</v>
      </c>
    </row>
    <row r="7" spans="1:2" x14ac:dyDescent="0.25">
      <c r="A7" s="4">
        <v>6</v>
      </c>
      <c r="B7" t="s">
        <v>157</v>
      </c>
    </row>
    <row r="8" spans="1:2" x14ac:dyDescent="0.25">
      <c r="A8" s="4">
        <v>7</v>
      </c>
      <c r="B8" t="s">
        <v>82</v>
      </c>
    </row>
    <row r="9" spans="1:2" x14ac:dyDescent="0.25">
      <c r="A9" s="4">
        <v>8</v>
      </c>
      <c r="B9" t="s">
        <v>191</v>
      </c>
    </row>
    <row r="10" spans="1:2" x14ac:dyDescent="0.25">
      <c r="A10" s="4">
        <v>9</v>
      </c>
      <c r="B10" t="s">
        <v>128</v>
      </c>
    </row>
    <row r="11" spans="1:2" x14ac:dyDescent="0.25">
      <c r="A11" s="4">
        <v>10</v>
      </c>
      <c r="B11" t="s">
        <v>129</v>
      </c>
    </row>
    <row r="12" spans="1:2" x14ac:dyDescent="0.25">
      <c r="A12" s="4">
        <v>11</v>
      </c>
      <c r="B12" t="s">
        <v>98</v>
      </c>
    </row>
    <row r="13" spans="1:2" x14ac:dyDescent="0.25">
      <c r="A13" s="4">
        <v>12</v>
      </c>
      <c r="B13" t="s">
        <v>97</v>
      </c>
    </row>
    <row r="14" spans="1:2" x14ac:dyDescent="0.25">
      <c r="A14" s="4">
        <v>13</v>
      </c>
      <c r="B14" t="s">
        <v>89</v>
      </c>
    </row>
    <row r="15" spans="1:2" x14ac:dyDescent="0.25">
      <c r="A15" s="4">
        <v>14</v>
      </c>
      <c r="B15" t="s">
        <v>88</v>
      </c>
    </row>
    <row r="16" spans="1:2" x14ac:dyDescent="0.25">
      <c r="A16" s="4">
        <v>15</v>
      </c>
      <c r="B16" t="s">
        <v>102</v>
      </c>
    </row>
    <row r="17" spans="1:2" x14ac:dyDescent="0.25">
      <c r="A17" s="4">
        <v>16</v>
      </c>
      <c r="B17" t="s">
        <v>96</v>
      </c>
    </row>
    <row r="18" spans="1:2" x14ac:dyDescent="0.25">
      <c r="A18" s="4">
        <v>17</v>
      </c>
      <c r="B18" t="s">
        <v>83</v>
      </c>
    </row>
    <row r="19" spans="1:2" x14ac:dyDescent="0.25">
      <c r="A19" s="4">
        <v>18</v>
      </c>
      <c r="B19" t="s">
        <v>139</v>
      </c>
    </row>
    <row r="20" spans="1:2" x14ac:dyDescent="0.25">
      <c r="A20" s="4">
        <v>19</v>
      </c>
      <c r="B20" t="s">
        <v>140</v>
      </c>
    </row>
    <row r="21" spans="1:2" x14ac:dyDescent="0.25">
      <c r="A21" s="4">
        <v>20</v>
      </c>
      <c r="B21" t="s">
        <v>106</v>
      </c>
    </row>
    <row r="22" spans="1:2" x14ac:dyDescent="0.25">
      <c r="A22" s="4">
        <v>21</v>
      </c>
      <c r="B22" t="s">
        <v>86</v>
      </c>
    </row>
    <row r="23" spans="1:2" x14ac:dyDescent="0.25">
      <c r="A23" s="4">
        <v>22</v>
      </c>
      <c r="B23" t="s">
        <v>87</v>
      </c>
    </row>
    <row r="24" spans="1:2" x14ac:dyDescent="0.25">
      <c r="A24" s="4">
        <v>23</v>
      </c>
      <c r="B24" t="s">
        <v>99</v>
      </c>
    </row>
    <row r="25" spans="1:2" x14ac:dyDescent="0.25">
      <c r="A25" s="4">
        <v>24</v>
      </c>
      <c r="B25" t="s">
        <v>95</v>
      </c>
    </row>
    <row r="26" spans="1:2" x14ac:dyDescent="0.25">
      <c r="A26" s="4">
        <v>25</v>
      </c>
      <c r="B26" t="s">
        <v>90</v>
      </c>
    </row>
    <row r="27" spans="1:2" x14ac:dyDescent="0.25">
      <c r="A27" s="4">
        <v>26</v>
      </c>
      <c r="B27" t="s">
        <v>81</v>
      </c>
    </row>
    <row r="28" spans="1:2" x14ac:dyDescent="0.25">
      <c r="A28" s="4">
        <v>27</v>
      </c>
      <c r="B28" t="s">
        <v>143</v>
      </c>
    </row>
    <row r="29" spans="1:2" x14ac:dyDescent="0.25">
      <c r="A29" s="4">
        <v>28</v>
      </c>
      <c r="B29" t="s">
        <v>115</v>
      </c>
    </row>
    <row r="30" spans="1:2" x14ac:dyDescent="0.25">
      <c r="A30" s="4">
        <v>29</v>
      </c>
      <c r="B30" t="s">
        <v>85</v>
      </c>
    </row>
    <row r="31" spans="1:2" x14ac:dyDescent="0.25">
      <c r="A31" s="4">
        <v>30</v>
      </c>
      <c r="B31" t="s">
        <v>105</v>
      </c>
    </row>
    <row r="32" spans="1:2" x14ac:dyDescent="0.25">
      <c r="A32" s="4">
        <v>31</v>
      </c>
      <c r="B32" t="s">
        <v>194</v>
      </c>
    </row>
    <row r="33" spans="1:2" x14ac:dyDescent="0.25">
      <c r="A33" s="4">
        <v>32</v>
      </c>
      <c r="B33" t="s">
        <v>192</v>
      </c>
    </row>
    <row r="34" spans="1:2" x14ac:dyDescent="0.25">
      <c r="A34" s="4">
        <v>33</v>
      </c>
      <c r="B34" t="s">
        <v>158</v>
      </c>
    </row>
    <row r="35" spans="1:2" x14ac:dyDescent="0.25">
      <c r="A35" s="4">
        <v>34</v>
      </c>
      <c r="B35" t="s">
        <v>110</v>
      </c>
    </row>
    <row r="36" spans="1:2" x14ac:dyDescent="0.25">
      <c r="A36" s="4">
        <v>35</v>
      </c>
      <c r="B36" t="s">
        <v>92</v>
      </c>
    </row>
    <row r="37" spans="1:2" x14ac:dyDescent="0.25">
      <c r="A37" s="4">
        <v>36</v>
      </c>
      <c r="B37" t="s">
        <v>104</v>
      </c>
    </row>
    <row r="38" spans="1:2" x14ac:dyDescent="0.25">
      <c r="A38" s="4">
        <v>37</v>
      </c>
      <c r="B38" t="s">
        <v>142</v>
      </c>
    </row>
    <row r="39" spans="1:2" x14ac:dyDescent="0.25">
      <c r="A39" s="4">
        <v>38</v>
      </c>
      <c r="B39" t="s">
        <v>195</v>
      </c>
    </row>
    <row r="40" spans="1:2" x14ac:dyDescent="0.25">
      <c r="A40" s="4">
        <v>39</v>
      </c>
      <c r="B40" t="s">
        <v>94</v>
      </c>
    </row>
    <row r="41" spans="1:2" x14ac:dyDescent="0.25">
      <c r="A41" s="4">
        <v>40</v>
      </c>
      <c r="B41" t="s">
        <v>78</v>
      </c>
    </row>
    <row r="42" spans="1:2" x14ac:dyDescent="0.25">
      <c r="A42" s="4">
        <v>41</v>
      </c>
      <c r="B42" t="s">
        <v>126</v>
      </c>
    </row>
    <row r="43" spans="1:2" x14ac:dyDescent="0.25">
      <c r="A43" s="4">
        <v>42</v>
      </c>
      <c r="B43" t="s">
        <v>80</v>
      </c>
    </row>
    <row r="44" spans="1:2" x14ac:dyDescent="0.25">
      <c r="A44" s="4">
        <v>43</v>
      </c>
      <c r="B44" t="s">
        <v>109</v>
      </c>
    </row>
    <row r="45" spans="1:2" x14ac:dyDescent="0.25">
      <c r="A45" s="4">
        <v>44</v>
      </c>
      <c r="B45" t="s">
        <v>150</v>
      </c>
    </row>
    <row r="46" spans="1:2" x14ac:dyDescent="0.25">
      <c r="A46" s="4">
        <v>45</v>
      </c>
      <c r="B46" t="s">
        <v>151</v>
      </c>
    </row>
    <row r="47" spans="1:2" x14ac:dyDescent="0.25">
      <c r="A47" s="4">
        <v>46</v>
      </c>
      <c r="B47" t="s">
        <v>152</v>
      </c>
    </row>
    <row r="48" spans="1:2" x14ac:dyDescent="0.25">
      <c r="A48" s="4">
        <v>47</v>
      </c>
      <c r="B48" t="s">
        <v>154</v>
      </c>
    </row>
    <row r="49" spans="1:2" x14ac:dyDescent="0.25">
      <c r="A49" s="4">
        <v>48</v>
      </c>
      <c r="B49" t="s">
        <v>120</v>
      </c>
    </row>
    <row r="50" spans="1:2" x14ac:dyDescent="0.25">
      <c r="A50" s="4">
        <v>49</v>
      </c>
      <c r="B50" t="s">
        <v>119</v>
      </c>
    </row>
    <row r="51" spans="1:2" x14ac:dyDescent="0.25">
      <c r="A51" s="4">
        <v>50</v>
      </c>
      <c r="B51" t="s">
        <v>164</v>
      </c>
    </row>
    <row r="52" spans="1:2" x14ac:dyDescent="0.25">
      <c r="A52" s="4">
        <v>51</v>
      </c>
      <c r="B52" t="s">
        <v>84</v>
      </c>
    </row>
    <row r="53" spans="1:2" x14ac:dyDescent="0.25">
      <c r="A53" s="4">
        <v>52</v>
      </c>
      <c r="B53" t="s">
        <v>161</v>
      </c>
    </row>
    <row r="54" spans="1:2" x14ac:dyDescent="0.25">
      <c r="A54" s="4">
        <v>53</v>
      </c>
      <c r="B54" t="s">
        <v>193</v>
      </c>
    </row>
    <row r="55" spans="1:2" x14ac:dyDescent="0.25">
      <c r="A55" s="4">
        <v>54</v>
      </c>
      <c r="B55" t="s">
        <v>77</v>
      </c>
    </row>
    <row r="56" spans="1:2" x14ac:dyDescent="0.25">
      <c r="A56" s="4">
        <v>55</v>
      </c>
      <c r="B56" t="s">
        <v>163</v>
      </c>
    </row>
    <row r="57" spans="1:2" x14ac:dyDescent="0.25">
      <c r="A57" s="4">
        <v>56</v>
      </c>
      <c r="B57" t="s">
        <v>112</v>
      </c>
    </row>
    <row r="58" spans="1:2" x14ac:dyDescent="0.25">
      <c r="A58" s="4">
        <v>57</v>
      </c>
      <c r="B58" t="s">
        <v>113</v>
      </c>
    </row>
    <row r="59" spans="1:2" x14ac:dyDescent="0.25">
      <c r="A59" s="4">
        <v>58</v>
      </c>
      <c r="B59" t="s">
        <v>156</v>
      </c>
    </row>
    <row r="60" spans="1:2" x14ac:dyDescent="0.25">
      <c r="A60" s="4">
        <v>59</v>
      </c>
      <c r="B60" t="s">
        <v>79</v>
      </c>
    </row>
    <row r="61" spans="1:2" x14ac:dyDescent="0.25">
      <c r="A61" s="4">
        <v>60</v>
      </c>
      <c r="B61" t="s">
        <v>127</v>
      </c>
    </row>
    <row r="62" spans="1:2" x14ac:dyDescent="0.25">
      <c r="A62" s="4">
        <v>61</v>
      </c>
      <c r="B62" t="s">
        <v>103</v>
      </c>
    </row>
    <row r="63" spans="1:2" x14ac:dyDescent="0.25">
      <c r="A63" s="4">
        <v>62</v>
      </c>
      <c r="B63" t="s">
        <v>122</v>
      </c>
    </row>
    <row r="64" spans="1:2" x14ac:dyDescent="0.25">
      <c r="A64" s="4">
        <v>63</v>
      </c>
      <c r="B64" t="s">
        <v>124</v>
      </c>
    </row>
    <row r="65" spans="1:2" x14ac:dyDescent="0.25">
      <c r="A65" s="4">
        <v>64</v>
      </c>
      <c r="B65" t="s">
        <v>121</v>
      </c>
    </row>
    <row r="66" spans="1:2" x14ac:dyDescent="0.25">
      <c r="A66" s="4">
        <v>65</v>
      </c>
      <c r="B66" t="s">
        <v>123</v>
      </c>
    </row>
    <row r="67" spans="1:2" x14ac:dyDescent="0.25">
      <c r="A67" s="4">
        <v>66</v>
      </c>
      <c r="B67" t="s">
        <v>91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40C41-7B96-43C2-8EC2-8BA28A4C4BF9}">
  <dimension ref="A1:H10"/>
  <sheetViews>
    <sheetView workbookViewId="0">
      <selection activeCell="E5" sqref="E5"/>
    </sheetView>
  </sheetViews>
  <sheetFormatPr defaultRowHeight="15" x14ac:dyDescent="0.25"/>
  <cols>
    <col min="1" max="1" width="34.85546875" bestFit="1" customWidth="1"/>
    <col min="2" max="2" width="6.28515625" bestFit="1" customWidth="1"/>
    <col min="3" max="4" width="6.42578125" bestFit="1" customWidth="1"/>
    <col min="5" max="5" width="8.140625" bestFit="1" customWidth="1"/>
    <col min="6" max="7" width="8.28515625" bestFit="1" customWidth="1"/>
  </cols>
  <sheetData>
    <row r="1" spans="1:8" x14ac:dyDescent="0.25">
      <c r="A1" s="25" t="s">
        <v>76</v>
      </c>
      <c r="B1" s="25" t="s">
        <v>216</v>
      </c>
      <c r="C1" s="25" t="s">
        <v>217</v>
      </c>
      <c r="D1" s="25" t="s">
        <v>218</v>
      </c>
      <c r="E1" s="25" t="s">
        <v>219</v>
      </c>
      <c r="F1" s="25" t="s">
        <v>220</v>
      </c>
      <c r="G1" s="25" t="s">
        <v>221</v>
      </c>
    </row>
    <row r="2" spans="1:8" x14ac:dyDescent="0.25">
      <c r="A2" s="24" t="s">
        <v>199</v>
      </c>
      <c r="B2" s="24">
        <v>1</v>
      </c>
      <c r="C2" s="24">
        <v>3</v>
      </c>
      <c r="D2" s="24">
        <v>1</v>
      </c>
      <c r="E2" s="26">
        <f t="shared" ref="E2:E8" si="0">B2/(B2+C2+D2)</f>
        <v>0.2</v>
      </c>
      <c r="F2" s="26">
        <f t="shared" ref="F2:F8" si="1">C2/(B2+C2+D2)</f>
        <v>0.6</v>
      </c>
      <c r="G2" s="26">
        <f t="shared" ref="G2:G8" si="2">D2/(B2+C2+D2)</f>
        <v>0.2</v>
      </c>
      <c r="H2" s="30"/>
    </row>
    <row r="3" spans="1:8" x14ac:dyDescent="0.25">
      <c r="A3" s="24" t="s">
        <v>24</v>
      </c>
      <c r="B3" s="24">
        <v>1</v>
      </c>
      <c r="C3" s="24">
        <v>2</v>
      </c>
      <c r="D3" s="24">
        <v>3</v>
      </c>
      <c r="E3" s="26">
        <f t="shared" si="0"/>
        <v>0.16666666666666666</v>
      </c>
      <c r="F3" s="26">
        <f t="shared" si="1"/>
        <v>0.33333333333333331</v>
      </c>
      <c r="G3" s="26">
        <f t="shared" si="2"/>
        <v>0.5</v>
      </c>
    </row>
    <row r="4" spans="1:8" x14ac:dyDescent="0.25">
      <c r="A4" s="24" t="s">
        <v>204</v>
      </c>
      <c r="B4" s="24">
        <v>2</v>
      </c>
      <c r="C4" s="24">
        <v>2</v>
      </c>
      <c r="D4" s="24">
        <v>2</v>
      </c>
      <c r="E4" s="26">
        <f t="shared" si="0"/>
        <v>0.33333333333333331</v>
      </c>
      <c r="F4" s="26">
        <f t="shared" si="1"/>
        <v>0.33333333333333331</v>
      </c>
      <c r="G4" s="26">
        <f t="shared" si="2"/>
        <v>0.33333333333333331</v>
      </c>
    </row>
    <row r="5" spans="1:8" x14ac:dyDescent="0.25">
      <c r="A5" s="24" t="s">
        <v>32</v>
      </c>
      <c r="B5" s="24">
        <v>3</v>
      </c>
      <c r="C5" s="24">
        <v>2</v>
      </c>
      <c r="D5" s="24">
        <v>1</v>
      </c>
      <c r="E5" s="26">
        <f t="shared" si="0"/>
        <v>0.5</v>
      </c>
      <c r="F5" s="26">
        <f t="shared" si="1"/>
        <v>0.33333333333333331</v>
      </c>
      <c r="G5" s="26">
        <f t="shared" si="2"/>
        <v>0.16666666666666666</v>
      </c>
    </row>
    <row r="6" spans="1:8" x14ac:dyDescent="0.25">
      <c r="A6" s="24" t="s">
        <v>34</v>
      </c>
      <c r="B6" s="24">
        <v>2</v>
      </c>
      <c r="C6" s="24">
        <v>2</v>
      </c>
      <c r="D6" s="24">
        <v>2</v>
      </c>
      <c r="E6" s="26">
        <f t="shared" si="0"/>
        <v>0.33333333333333331</v>
      </c>
      <c r="F6" s="26">
        <f t="shared" si="1"/>
        <v>0.33333333333333331</v>
      </c>
      <c r="G6" s="26">
        <f t="shared" si="2"/>
        <v>0.33333333333333331</v>
      </c>
    </row>
    <row r="7" spans="1:8" x14ac:dyDescent="0.25">
      <c r="A7" s="24" t="s">
        <v>20</v>
      </c>
      <c r="B7" s="24">
        <v>2</v>
      </c>
      <c r="C7" s="24">
        <v>3</v>
      </c>
      <c r="D7" s="24">
        <v>2</v>
      </c>
      <c r="E7" s="26">
        <f t="shared" si="0"/>
        <v>0.2857142857142857</v>
      </c>
      <c r="F7" s="26">
        <f t="shared" si="1"/>
        <v>0.42857142857142855</v>
      </c>
      <c r="G7" s="26">
        <f t="shared" si="2"/>
        <v>0.2857142857142857</v>
      </c>
    </row>
    <row r="8" spans="1:8" x14ac:dyDescent="0.25">
      <c r="A8" s="24" t="s">
        <v>54</v>
      </c>
      <c r="B8" s="24">
        <v>2</v>
      </c>
      <c r="C8" s="24">
        <v>1</v>
      </c>
      <c r="D8" s="24">
        <v>3</v>
      </c>
      <c r="E8" s="26">
        <f t="shared" si="0"/>
        <v>0.33333333333333331</v>
      </c>
      <c r="F8" s="26">
        <f t="shared" si="1"/>
        <v>0.16666666666666666</v>
      </c>
      <c r="G8" s="26">
        <f t="shared" si="2"/>
        <v>0.5</v>
      </c>
    </row>
    <row r="9" spans="1:8" x14ac:dyDescent="0.25">
      <c r="A9" s="24"/>
      <c r="B9" s="24">
        <f>SUM(B2:B8)</f>
        <v>13</v>
      </c>
      <c r="C9" s="24">
        <f t="shared" ref="C9:D9" si="3">SUM(C2:C8)</f>
        <v>15</v>
      </c>
      <c r="D9" s="24">
        <f t="shared" si="3"/>
        <v>14</v>
      </c>
      <c r="E9" s="27">
        <f>SUM(E2:E8)</f>
        <v>2.1523809523809523</v>
      </c>
      <c r="F9" s="27">
        <f t="shared" ref="F9:G9" si="4">SUM(F2:F8)</f>
        <v>2.528571428571428</v>
      </c>
      <c r="G9" s="27">
        <f t="shared" si="4"/>
        <v>2.3190476190476188</v>
      </c>
    </row>
    <row r="10" spans="1:8" x14ac:dyDescent="0.25">
      <c r="A10" s="24"/>
      <c r="B10" s="28">
        <f>B9/SUM($B$9:$D$9)</f>
        <v>0.30952380952380953</v>
      </c>
      <c r="C10" s="28">
        <f t="shared" ref="C10:D10" si="5">C9/SUM($B$9:$D$9)</f>
        <v>0.35714285714285715</v>
      </c>
      <c r="D10" s="28">
        <f t="shared" si="5"/>
        <v>0.33333333333333331</v>
      </c>
      <c r="E10" s="29">
        <f>E9/SUM($E$9:$G$9)</f>
        <v>0.30748299319727895</v>
      </c>
      <c r="F10" s="29">
        <f t="shared" ref="F10:G10" si="6">F9/SUM($E$9:$G$9)</f>
        <v>0.36122448979591831</v>
      </c>
      <c r="G10" s="29">
        <f t="shared" si="6"/>
        <v>0.33129251700680273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AEFE6-5F53-41E4-B5D7-68B1D86BF988}">
  <dimension ref="A1:AX69"/>
  <sheetViews>
    <sheetView topLeftCell="AI1" zoomScale="130" zoomScaleNormal="130" workbookViewId="0">
      <selection activeCell="AR26" sqref="AR26"/>
    </sheetView>
  </sheetViews>
  <sheetFormatPr defaultRowHeight="15" x14ac:dyDescent="0.25"/>
  <cols>
    <col min="1" max="1" width="40.5703125" bestFit="1" customWidth="1"/>
    <col min="2" max="2" width="32.5703125" bestFit="1" customWidth="1"/>
    <col min="5" max="5" width="40.5703125" bestFit="1" customWidth="1"/>
    <col min="6" max="6" width="3.5703125" bestFit="1" customWidth="1"/>
    <col min="7" max="7" width="40.5703125" style="3" bestFit="1" customWidth="1"/>
    <col min="8" max="8" width="34.85546875" style="3" bestFit="1" customWidth="1"/>
    <col min="9" max="9" width="23.140625" style="3" bestFit="1" customWidth="1"/>
    <col min="10" max="12" width="6" bestFit="1" customWidth="1"/>
    <col min="14" max="14" width="3.5703125" bestFit="1" customWidth="1"/>
    <col min="15" max="15" width="39.140625" bestFit="1" customWidth="1"/>
    <col min="16" max="16" width="4.140625" bestFit="1" customWidth="1"/>
    <col min="17" max="17" width="9.42578125" bestFit="1" customWidth="1"/>
    <col min="20" max="20" width="3.5703125" bestFit="1" customWidth="1"/>
    <col min="21" max="21" width="39.140625" bestFit="1" customWidth="1"/>
    <col min="22" max="22" width="9.42578125" bestFit="1" customWidth="1"/>
    <col min="25" max="25" width="3.5703125" bestFit="1" customWidth="1"/>
    <col min="26" max="26" width="39.140625" bestFit="1" customWidth="1"/>
    <col min="27" max="27" width="7" bestFit="1" customWidth="1"/>
    <col min="28" max="28" width="7.140625" bestFit="1" customWidth="1"/>
    <col min="29" max="29" width="6" bestFit="1" customWidth="1"/>
    <col min="30" max="30" width="5.85546875" bestFit="1" customWidth="1"/>
    <col min="31" max="31" width="4.140625" bestFit="1" customWidth="1"/>
    <col min="33" max="33" width="3.5703125" bestFit="1" customWidth="1"/>
    <col min="34" max="34" width="39.140625" style="3" bestFit="1" customWidth="1"/>
    <col min="35" max="35" width="4.140625" bestFit="1" customWidth="1"/>
    <col min="36" max="36" width="9.42578125" bestFit="1" customWidth="1"/>
    <col min="37" max="39" width="4.85546875" bestFit="1" customWidth="1"/>
    <col min="40" max="40" width="4.42578125" bestFit="1" customWidth="1"/>
    <col min="42" max="42" width="3.5703125" bestFit="1" customWidth="1"/>
    <col min="43" max="43" width="5.5703125" style="3" bestFit="1" customWidth="1"/>
    <col min="44" max="44" width="39.140625" style="3" bestFit="1" customWidth="1"/>
    <col min="45" max="45" width="4.140625" bestFit="1" customWidth="1"/>
    <col min="46" max="46" width="9.42578125" bestFit="1" customWidth="1"/>
    <col min="47" max="49" width="4.85546875" bestFit="1" customWidth="1"/>
    <col min="50" max="50" width="4.42578125" bestFit="1" customWidth="1"/>
  </cols>
  <sheetData>
    <row r="1" spans="1:50" x14ac:dyDescent="0.25">
      <c r="A1" t="s">
        <v>188</v>
      </c>
      <c r="B1" t="s">
        <v>189</v>
      </c>
      <c r="E1" t="s">
        <v>189</v>
      </c>
      <c r="F1" s="31" t="s">
        <v>165</v>
      </c>
      <c r="G1" s="32" t="s">
        <v>75</v>
      </c>
      <c r="H1" s="32" t="s">
        <v>197</v>
      </c>
      <c r="I1" s="32" t="s">
        <v>198</v>
      </c>
      <c r="J1" s="31" t="s">
        <v>114</v>
      </c>
      <c r="K1" s="31" t="s">
        <v>222</v>
      </c>
      <c r="L1" s="31" t="s">
        <v>223</v>
      </c>
      <c r="N1" s="7" t="s">
        <v>165</v>
      </c>
      <c r="O1" s="7" t="s">
        <v>75</v>
      </c>
      <c r="P1" s="7" t="s">
        <v>213</v>
      </c>
      <c r="Q1" s="7" t="s">
        <v>214</v>
      </c>
      <c r="T1" s="7" t="s">
        <v>165</v>
      </c>
      <c r="U1" s="7" t="s">
        <v>75</v>
      </c>
      <c r="V1" s="7" t="s">
        <v>214</v>
      </c>
      <c r="W1" s="7" t="s">
        <v>213</v>
      </c>
      <c r="Y1" s="10" t="s">
        <v>165</v>
      </c>
      <c r="Z1" s="10" t="s">
        <v>75</v>
      </c>
      <c r="AA1" s="10" t="s">
        <v>228</v>
      </c>
      <c r="AB1" s="10" t="s">
        <v>229</v>
      </c>
      <c r="AC1" s="10" t="s">
        <v>230</v>
      </c>
      <c r="AD1" s="10" t="s">
        <v>227</v>
      </c>
      <c r="AE1" s="10" t="s">
        <v>213</v>
      </c>
      <c r="AG1" s="7" t="s">
        <v>165</v>
      </c>
      <c r="AH1" s="1" t="s">
        <v>75</v>
      </c>
      <c r="AI1" s="7" t="s">
        <v>213</v>
      </c>
      <c r="AJ1" s="7" t="s">
        <v>214</v>
      </c>
      <c r="AK1" s="7" t="s">
        <v>224</v>
      </c>
      <c r="AL1" s="7" t="s">
        <v>225</v>
      </c>
      <c r="AM1" s="7" t="s">
        <v>226</v>
      </c>
      <c r="AN1" s="7" t="s">
        <v>231</v>
      </c>
      <c r="AP1" s="7" t="s">
        <v>165</v>
      </c>
      <c r="AQ1" s="1" t="s">
        <v>237</v>
      </c>
      <c r="AR1" s="1" t="s">
        <v>75</v>
      </c>
      <c r="AS1" s="7" t="s">
        <v>213</v>
      </c>
      <c r="AT1" s="7" t="s">
        <v>214</v>
      </c>
      <c r="AU1" s="7" t="s">
        <v>224</v>
      </c>
      <c r="AV1" s="7" t="s">
        <v>225</v>
      </c>
      <c r="AW1" s="7" t="s">
        <v>226</v>
      </c>
      <c r="AX1" s="7" t="s">
        <v>231</v>
      </c>
    </row>
    <row r="2" spans="1:50" x14ac:dyDescent="0.25">
      <c r="A2" t="s">
        <v>162</v>
      </c>
      <c r="B2" t="s">
        <v>162</v>
      </c>
      <c r="E2" t="s">
        <v>162</v>
      </c>
      <c r="F2" s="33">
        <v>1</v>
      </c>
      <c r="G2" s="34" t="s">
        <v>120</v>
      </c>
      <c r="H2" s="34" t="s">
        <v>199</v>
      </c>
      <c r="I2" s="34" t="s">
        <v>200</v>
      </c>
      <c r="J2" s="35">
        <f>'Skoring BK'!$E$2</f>
        <v>0.2</v>
      </c>
      <c r="K2" s="35">
        <f>'Skoring BK'!$F$2</f>
        <v>0.6</v>
      </c>
      <c r="L2" s="35">
        <f>'Skoring BK'!$G$2</f>
        <v>0.2</v>
      </c>
      <c r="N2" s="6">
        <v>1</v>
      </c>
      <c r="O2" s="6" t="s">
        <v>119</v>
      </c>
      <c r="P2" s="6">
        <v>3</v>
      </c>
      <c r="Q2" s="6">
        <v>1</v>
      </c>
      <c r="T2" s="6">
        <v>1</v>
      </c>
      <c r="U2" s="6" t="s">
        <v>119</v>
      </c>
      <c r="V2" s="6">
        <v>1</v>
      </c>
      <c r="Y2" s="13">
        <v>1</v>
      </c>
      <c r="Z2" s="13" t="s">
        <v>119</v>
      </c>
      <c r="AA2" s="13">
        <v>2</v>
      </c>
      <c r="AB2" s="13">
        <v>2</v>
      </c>
      <c r="AC2" s="13">
        <v>2</v>
      </c>
      <c r="AD2" s="13">
        <f>SUM(AA2:AC2)</f>
        <v>6</v>
      </c>
      <c r="AE2" s="13">
        <v>3</v>
      </c>
      <c r="AG2" s="6">
        <v>1</v>
      </c>
      <c r="AH2" s="2" t="s">
        <v>119</v>
      </c>
      <c r="AI2" s="6">
        <v>3</v>
      </c>
      <c r="AJ2" s="6">
        <v>1</v>
      </c>
      <c r="AK2" s="6">
        <v>2</v>
      </c>
      <c r="AL2" s="6">
        <v>2</v>
      </c>
      <c r="AM2" s="6">
        <v>2</v>
      </c>
      <c r="AN2">
        <f>SUM(AK2:AM2)</f>
        <v>6</v>
      </c>
      <c r="AP2" s="6">
        <v>1</v>
      </c>
      <c r="AQ2" s="2"/>
      <c r="AR2" s="2" t="s">
        <v>119</v>
      </c>
      <c r="AS2" s="6">
        <v>3</v>
      </c>
      <c r="AT2" s="6">
        <v>1</v>
      </c>
      <c r="AU2" s="6">
        <v>2</v>
      </c>
      <c r="AV2" s="6">
        <v>2</v>
      </c>
      <c r="AW2" s="6">
        <v>2</v>
      </c>
      <c r="AX2">
        <f>SUM(AU2:AW2)</f>
        <v>6</v>
      </c>
    </row>
    <row r="3" spans="1:50" x14ac:dyDescent="0.25">
      <c r="A3" t="s">
        <v>132</v>
      </c>
      <c r="B3" t="s">
        <v>93</v>
      </c>
      <c r="E3" t="s">
        <v>93</v>
      </c>
      <c r="F3" s="33">
        <v>2</v>
      </c>
      <c r="G3" s="34" t="s">
        <v>154</v>
      </c>
      <c r="H3" s="34" t="s">
        <v>199</v>
      </c>
      <c r="I3" s="34" t="s">
        <v>200</v>
      </c>
      <c r="J3" s="35">
        <f>'Skoring BK'!$E$2</f>
        <v>0.2</v>
      </c>
      <c r="K3" s="35">
        <f>'Skoring BK'!$F$2</f>
        <v>0.6</v>
      </c>
      <c r="L3" s="35">
        <f>'Skoring BK'!$G$2</f>
        <v>0.2</v>
      </c>
      <c r="N3" s="6">
        <v>2</v>
      </c>
      <c r="O3" s="6" t="s">
        <v>120</v>
      </c>
      <c r="P3" s="6">
        <v>3</v>
      </c>
      <c r="Q3" s="6">
        <v>1</v>
      </c>
      <c r="T3" s="6">
        <v>2</v>
      </c>
      <c r="U3" s="6" t="s">
        <v>120</v>
      </c>
      <c r="V3" s="6">
        <v>1</v>
      </c>
      <c r="Y3" s="13">
        <v>2</v>
      </c>
      <c r="Z3" s="13" t="s">
        <v>120</v>
      </c>
      <c r="AA3" s="13">
        <v>2</v>
      </c>
      <c r="AB3" s="13">
        <v>2</v>
      </c>
      <c r="AC3" s="13">
        <v>2</v>
      </c>
      <c r="AD3" s="13">
        <f t="shared" ref="AD3:AD66" si="0">SUM(AA3:AC3)</f>
        <v>6</v>
      </c>
      <c r="AE3" s="13">
        <v>3</v>
      </c>
      <c r="AG3" s="6">
        <v>2</v>
      </c>
      <c r="AH3" s="2" t="s">
        <v>120</v>
      </c>
      <c r="AI3" s="6">
        <v>3</v>
      </c>
      <c r="AJ3" s="6">
        <v>1</v>
      </c>
      <c r="AK3" s="6">
        <v>2</v>
      </c>
      <c r="AL3" s="6">
        <v>2</v>
      </c>
      <c r="AM3" s="6">
        <v>2</v>
      </c>
      <c r="AN3">
        <f t="shared" ref="AN3:AN66" si="1">SUM(AK3:AM3)</f>
        <v>6</v>
      </c>
      <c r="AP3" s="6">
        <v>2</v>
      </c>
      <c r="AQ3" s="2"/>
      <c r="AR3" s="2" t="s">
        <v>120</v>
      </c>
      <c r="AS3" s="6">
        <v>3</v>
      </c>
      <c r="AT3" s="6">
        <v>1</v>
      </c>
      <c r="AU3" s="6">
        <v>2</v>
      </c>
      <c r="AV3" s="6">
        <v>2</v>
      </c>
      <c r="AW3" s="6">
        <v>2</v>
      </c>
      <c r="AX3">
        <f t="shared" ref="AX3:AX65" si="2">SUM(AU3:AW3)</f>
        <v>6</v>
      </c>
    </row>
    <row r="4" spans="1:50" x14ac:dyDescent="0.25">
      <c r="A4" t="s">
        <v>144</v>
      </c>
      <c r="B4" t="s">
        <v>190</v>
      </c>
      <c r="E4" t="s">
        <v>190</v>
      </c>
      <c r="F4" s="33">
        <v>3</v>
      </c>
      <c r="G4" s="34" t="s">
        <v>124</v>
      </c>
      <c r="H4" s="34" t="s">
        <v>199</v>
      </c>
      <c r="I4" s="34" t="s">
        <v>201</v>
      </c>
      <c r="J4" s="35">
        <f>'Skoring BK'!$E$2</f>
        <v>0.2</v>
      </c>
      <c r="K4" s="35">
        <f>'Skoring BK'!$F$2</f>
        <v>0.6</v>
      </c>
      <c r="L4" s="35">
        <f>'Skoring BK'!$G$2</f>
        <v>0.2</v>
      </c>
      <c r="N4" s="6">
        <v>3</v>
      </c>
      <c r="O4" s="6" t="s">
        <v>154</v>
      </c>
      <c r="P4" s="6">
        <v>2</v>
      </c>
      <c r="Q4" s="6">
        <v>1</v>
      </c>
      <c r="T4" s="6">
        <v>3</v>
      </c>
      <c r="U4" s="6" t="s">
        <v>154</v>
      </c>
      <c r="V4" s="6">
        <v>1</v>
      </c>
      <c r="Y4" s="13">
        <v>3</v>
      </c>
      <c r="Z4" s="13" t="s">
        <v>154</v>
      </c>
      <c r="AA4" s="13">
        <v>2</v>
      </c>
      <c r="AB4" s="13">
        <v>1</v>
      </c>
      <c r="AC4" s="13">
        <v>2</v>
      </c>
      <c r="AD4" s="13">
        <f t="shared" si="0"/>
        <v>5</v>
      </c>
      <c r="AE4" s="13">
        <v>3</v>
      </c>
      <c r="AG4" s="6">
        <v>3</v>
      </c>
      <c r="AH4" s="2" t="s">
        <v>154</v>
      </c>
      <c r="AI4" s="6">
        <v>2</v>
      </c>
      <c r="AJ4" s="6">
        <v>1</v>
      </c>
      <c r="AK4" s="6">
        <v>2</v>
      </c>
      <c r="AL4" s="6">
        <v>1</v>
      </c>
      <c r="AM4" s="6">
        <v>2</v>
      </c>
      <c r="AN4">
        <f t="shared" si="1"/>
        <v>5</v>
      </c>
      <c r="AP4" s="6">
        <v>3</v>
      </c>
      <c r="AQ4" s="2"/>
      <c r="AR4" s="2" t="s">
        <v>154</v>
      </c>
      <c r="AS4" s="6">
        <v>2</v>
      </c>
      <c r="AT4" s="6">
        <v>1</v>
      </c>
      <c r="AU4" s="6">
        <v>2</v>
      </c>
      <c r="AV4" s="6">
        <v>1</v>
      </c>
      <c r="AW4" s="6">
        <v>2</v>
      </c>
      <c r="AX4">
        <f t="shared" si="2"/>
        <v>5</v>
      </c>
    </row>
    <row r="5" spans="1:50" x14ac:dyDescent="0.25">
      <c r="A5" t="s">
        <v>160</v>
      </c>
      <c r="B5" t="s">
        <v>160</v>
      </c>
      <c r="E5" t="s">
        <v>160</v>
      </c>
      <c r="F5" s="33">
        <v>4</v>
      </c>
      <c r="G5" s="34" t="s">
        <v>121</v>
      </c>
      <c r="H5" s="34" t="s">
        <v>199</v>
      </c>
      <c r="I5" s="34" t="s">
        <v>200</v>
      </c>
      <c r="J5" s="35">
        <f>'Skoring BK'!$E$2</f>
        <v>0.2</v>
      </c>
      <c r="K5" s="35">
        <f>'Skoring BK'!$F$2</f>
        <v>0.6</v>
      </c>
      <c r="L5" s="35">
        <f>'Skoring BK'!$G$2</f>
        <v>0.2</v>
      </c>
      <c r="N5" s="6">
        <v>4</v>
      </c>
      <c r="O5" s="6" t="s">
        <v>78</v>
      </c>
      <c r="P5" s="6">
        <v>3</v>
      </c>
      <c r="Q5" s="6">
        <v>1</v>
      </c>
      <c r="T5" s="6">
        <v>4</v>
      </c>
      <c r="U5" s="6" t="s">
        <v>78</v>
      </c>
      <c r="V5" s="6">
        <v>1</v>
      </c>
      <c r="Y5" s="13">
        <v>4</v>
      </c>
      <c r="Z5" s="13" t="s">
        <v>78</v>
      </c>
      <c r="AA5" s="13">
        <v>3</v>
      </c>
      <c r="AB5" s="13">
        <v>2</v>
      </c>
      <c r="AC5" s="13">
        <v>2</v>
      </c>
      <c r="AD5" s="13">
        <f t="shared" si="0"/>
        <v>7</v>
      </c>
      <c r="AE5" s="13">
        <v>3</v>
      </c>
      <c r="AG5" s="6">
        <v>4</v>
      </c>
      <c r="AH5" s="2" t="s">
        <v>78</v>
      </c>
      <c r="AI5" s="6">
        <v>3</v>
      </c>
      <c r="AJ5" s="6">
        <v>1</v>
      </c>
      <c r="AK5" s="6">
        <v>3</v>
      </c>
      <c r="AL5" s="6">
        <v>2</v>
      </c>
      <c r="AM5" s="6">
        <v>2</v>
      </c>
      <c r="AN5">
        <f t="shared" si="1"/>
        <v>7</v>
      </c>
      <c r="AP5" s="6">
        <v>4</v>
      </c>
      <c r="AQ5" s="2"/>
      <c r="AR5" s="2" t="s">
        <v>78</v>
      </c>
      <c r="AS5" s="6">
        <v>3</v>
      </c>
      <c r="AT5" s="6">
        <v>1</v>
      </c>
      <c r="AU5" s="6">
        <v>3</v>
      </c>
      <c r="AV5" s="6">
        <v>2</v>
      </c>
      <c r="AW5" s="6">
        <v>2</v>
      </c>
      <c r="AX5">
        <f t="shared" si="2"/>
        <v>7</v>
      </c>
    </row>
    <row r="6" spans="1:50" x14ac:dyDescent="0.25">
      <c r="A6" t="s">
        <v>111</v>
      </c>
      <c r="B6" t="s">
        <v>111</v>
      </c>
      <c r="E6" t="s">
        <v>111</v>
      </c>
      <c r="F6" s="33">
        <v>5</v>
      </c>
      <c r="G6" s="34" t="s">
        <v>103</v>
      </c>
      <c r="H6" s="34" t="s">
        <v>199</v>
      </c>
      <c r="I6" s="34" t="s">
        <v>200</v>
      </c>
      <c r="J6" s="35">
        <f>'Skoring BK'!$E$2</f>
        <v>0.2</v>
      </c>
      <c r="K6" s="35">
        <f>'Skoring BK'!$F$2</f>
        <v>0.6</v>
      </c>
      <c r="L6" s="35">
        <f>'Skoring BK'!$G$2</f>
        <v>0.2</v>
      </c>
      <c r="N6" s="6">
        <v>5</v>
      </c>
      <c r="O6" s="6" t="s">
        <v>111</v>
      </c>
      <c r="P6" s="6">
        <v>2</v>
      </c>
      <c r="Q6" s="6">
        <v>1</v>
      </c>
      <c r="T6" s="6">
        <v>5</v>
      </c>
      <c r="U6" s="6" t="s">
        <v>111</v>
      </c>
      <c r="V6" s="6">
        <v>1</v>
      </c>
      <c r="Y6" s="13">
        <v>5</v>
      </c>
      <c r="Z6" s="13" t="s">
        <v>111</v>
      </c>
      <c r="AA6" s="13">
        <v>1</v>
      </c>
      <c r="AB6" s="13">
        <v>2</v>
      </c>
      <c r="AC6" s="13">
        <v>2</v>
      </c>
      <c r="AD6" s="13">
        <f t="shared" si="0"/>
        <v>5</v>
      </c>
      <c r="AE6" s="13">
        <v>3</v>
      </c>
      <c r="AG6" s="6">
        <v>5</v>
      </c>
      <c r="AH6" s="2" t="s">
        <v>111</v>
      </c>
      <c r="AI6" s="6">
        <v>2</v>
      </c>
      <c r="AJ6" s="6">
        <v>1</v>
      </c>
      <c r="AK6" s="6">
        <v>1</v>
      </c>
      <c r="AL6" s="6">
        <v>2</v>
      </c>
      <c r="AM6" s="6">
        <v>2</v>
      </c>
      <c r="AN6">
        <f t="shared" si="1"/>
        <v>5</v>
      </c>
      <c r="AP6" s="6">
        <v>5</v>
      </c>
      <c r="AQ6" s="2"/>
      <c r="AR6" s="2" t="s">
        <v>111</v>
      </c>
      <c r="AS6" s="6">
        <v>2</v>
      </c>
      <c r="AT6" s="6">
        <v>1</v>
      </c>
      <c r="AU6" s="6">
        <v>1</v>
      </c>
      <c r="AV6" s="6">
        <v>2</v>
      </c>
      <c r="AW6" s="6">
        <v>2</v>
      </c>
      <c r="AX6">
        <f t="shared" si="2"/>
        <v>5</v>
      </c>
    </row>
    <row r="7" spans="1:50" x14ac:dyDescent="0.25">
      <c r="A7" t="s">
        <v>157</v>
      </c>
      <c r="B7" t="s">
        <v>157</v>
      </c>
      <c r="E7" t="s">
        <v>157</v>
      </c>
      <c r="F7" s="33">
        <v>6</v>
      </c>
      <c r="G7" s="34" t="s">
        <v>122</v>
      </c>
      <c r="H7" s="34" t="s">
        <v>199</v>
      </c>
      <c r="I7" s="34" t="s">
        <v>201</v>
      </c>
      <c r="J7" s="35">
        <f>'Skoring BK'!$E$2</f>
        <v>0.2</v>
      </c>
      <c r="K7" s="35">
        <f>'Skoring BK'!$F$2</f>
        <v>0.6</v>
      </c>
      <c r="L7" s="35">
        <f>'Skoring BK'!$G$2</f>
        <v>0.2</v>
      </c>
      <c r="N7" s="6">
        <v>6</v>
      </c>
      <c r="O7" s="6" t="s">
        <v>160</v>
      </c>
      <c r="P7" s="6">
        <v>2</v>
      </c>
      <c r="Q7" s="6">
        <v>1</v>
      </c>
      <c r="T7" s="6">
        <v>6</v>
      </c>
      <c r="U7" s="6" t="s">
        <v>160</v>
      </c>
      <c r="V7" s="6">
        <v>1</v>
      </c>
      <c r="Y7" s="13">
        <v>6</v>
      </c>
      <c r="Z7" s="13" t="s">
        <v>160</v>
      </c>
      <c r="AA7" s="13">
        <v>2</v>
      </c>
      <c r="AB7" s="13">
        <v>1</v>
      </c>
      <c r="AC7" s="13">
        <v>2</v>
      </c>
      <c r="AD7" s="13">
        <f t="shared" si="0"/>
        <v>5</v>
      </c>
      <c r="AE7" s="13">
        <v>2</v>
      </c>
      <c r="AG7" s="6">
        <v>6</v>
      </c>
      <c r="AH7" s="2" t="s">
        <v>160</v>
      </c>
      <c r="AI7" s="6">
        <v>2</v>
      </c>
      <c r="AJ7" s="6">
        <v>1</v>
      </c>
      <c r="AK7" s="6">
        <v>2</v>
      </c>
      <c r="AL7" s="6">
        <v>1</v>
      </c>
      <c r="AM7" s="6">
        <v>2</v>
      </c>
      <c r="AN7">
        <f t="shared" si="1"/>
        <v>5</v>
      </c>
      <c r="AP7" s="6">
        <v>6</v>
      </c>
      <c r="AQ7" s="2"/>
      <c r="AR7" s="2" t="s">
        <v>160</v>
      </c>
      <c r="AS7" s="6">
        <v>2</v>
      </c>
      <c r="AT7" s="6">
        <v>1</v>
      </c>
      <c r="AU7" s="6">
        <v>2</v>
      </c>
      <c r="AV7" s="6">
        <v>1</v>
      </c>
      <c r="AW7" s="6">
        <v>2</v>
      </c>
      <c r="AX7">
        <f t="shared" si="2"/>
        <v>5</v>
      </c>
    </row>
    <row r="8" spans="1:50" x14ac:dyDescent="0.25">
      <c r="A8" t="s">
        <v>141</v>
      </c>
      <c r="B8" t="s">
        <v>82</v>
      </c>
      <c r="E8" t="s">
        <v>101</v>
      </c>
      <c r="F8" s="33">
        <v>7</v>
      </c>
      <c r="G8" s="34" t="s">
        <v>161</v>
      </c>
      <c r="H8" s="34" t="s">
        <v>199</v>
      </c>
      <c r="I8" s="34" t="s">
        <v>202</v>
      </c>
      <c r="J8" s="35">
        <f>'Skoring BK'!$E$2</f>
        <v>0.2</v>
      </c>
      <c r="K8" s="35">
        <f>'Skoring BK'!$F$2</f>
        <v>0.6</v>
      </c>
      <c r="L8" s="35">
        <f>'Skoring BK'!$G$2</f>
        <v>0.2</v>
      </c>
      <c r="N8" s="6">
        <v>7</v>
      </c>
      <c r="O8" s="6" t="s">
        <v>162</v>
      </c>
      <c r="P8" s="6">
        <v>2</v>
      </c>
      <c r="Q8" s="6">
        <v>1</v>
      </c>
      <c r="T8" s="6">
        <v>7</v>
      </c>
      <c r="U8" s="6" t="s">
        <v>162</v>
      </c>
      <c r="V8" s="6">
        <v>1</v>
      </c>
      <c r="Y8" s="13">
        <v>7</v>
      </c>
      <c r="Z8" s="13" t="s">
        <v>162</v>
      </c>
      <c r="AA8" s="13">
        <v>2</v>
      </c>
      <c r="AB8" s="13">
        <v>1</v>
      </c>
      <c r="AC8" s="13">
        <v>2</v>
      </c>
      <c r="AD8" s="13">
        <f t="shared" si="0"/>
        <v>5</v>
      </c>
      <c r="AE8" s="13">
        <v>2</v>
      </c>
      <c r="AG8" s="6">
        <v>7</v>
      </c>
      <c r="AH8" s="2" t="s">
        <v>162</v>
      </c>
      <c r="AI8" s="6">
        <v>2</v>
      </c>
      <c r="AJ8" s="6">
        <v>1</v>
      </c>
      <c r="AK8" s="6">
        <v>2</v>
      </c>
      <c r="AL8" s="6">
        <v>1</v>
      </c>
      <c r="AM8" s="6">
        <v>2</v>
      </c>
      <c r="AN8">
        <f t="shared" si="1"/>
        <v>5</v>
      </c>
      <c r="AP8" s="6">
        <v>7</v>
      </c>
      <c r="AQ8" s="2"/>
      <c r="AR8" s="2" t="s">
        <v>162</v>
      </c>
      <c r="AS8" s="6">
        <v>2</v>
      </c>
      <c r="AT8" s="6">
        <v>1</v>
      </c>
      <c r="AU8" s="6">
        <v>2</v>
      </c>
      <c r="AV8" s="6">
        <v>1</v>
      </c>
      <c r="AW8" s="6">
        <v>2</v>
      </c>
      <c r="AX8">
        <f t="shared" si="2"/>
        <v>5</v>
      </c>
    </row>
    <row r="9" spans="1:50" x14ac:dyDescent="0.25">
      <c r="A9" t="s">
        <v>146</v>
      </c>
      <c r="B9" t="s">
        <v>191</v>
      </c>
      <c r="E9" t="s">
        <v>82</v>
      </c>
      <c r="F9" s="33">
        <v>8</v>
      </c>
      <c r="G9" s="34" t="s">
        <v>94</v>
      </c>
      <c r="H9" s="34" t="s">
        <v>24</v>
      </c>
      <c r="I9" s="34" t="s">
        <v>200</v>
      </c>
      <c r="J9" s="35">
        <f>'Skoring BK'!$E$3</f>
        <v>0.16666666666666666</v>
      </c>
      <c r="K9" s="35">
        <f>'Skoring BK'!$F$3</f>
        <v>0.33333333333333331</v>
      </c>
      <c r="L9" s="35">
        <f>'Skoring BK'!$G$3</f>
        <v>0.5</v>
      </c>
      <c r="N9" s="6">
        <v>8</v>
      </c>
      <c r="O9" s="6" t="s">
        <v>150</v>
      </c>
      <c r="P9" s="6">
        <v>2</v>
      </c>
      <c r="Q9" s="6">
        <v>1</v>
      </c>
      <c r="T9" s="6">
        <v>8</v>
      </c>
      <c r="U9" s="6" t="s">
        <v>150</v>
      </c>
      <c r="V9" s="6">
        <v>1</v>
      </c>
      <c r="Y9" s="13">
        <v>8</v>
      </c>
      <c r="Z9" s="13" t="s">
        <v>150</v>
      </c>
      <c r="AA9" s="13">
        <v>2</v>
      </c>
      <c r="AB9" s="13">
        <v>1</v>
      </c>
      <c r="AC9" s="13">
        <v>2</v>
      </c>
      <c r="AD9" s="13">
        <f t="shared" si="0"/>
        <v>5</v>
      </c>
      <c r="AE9" s="13">
        <v>2</v>
      </c>
      <c r="AG9" s="6">
        <v>8</v>
      </c>
      <c r="AH9" s="2" t="s">
        <v>150</v>
      </c>
      <c r="AI9" s="6">
        <v>1</v>
      </c>
      <c r="AJ9" s="6">
        <v>1</v>
      </c>
      <c r="AK9" s="6">
        <v>2</v>
      </c>
      <c r="AL9" s="6">
        <v>1</v>
      </c>
      <c r="AM9" s="6">
        <v>2</v>
      </c>
      <c r="AN9">
        <f t="shared" si="1"/>
        <v>5</v>
      </c>
      <c r="AP9" s="6">
        <v>8</v>
      </c>
      <c r="AQ9" s="2"/>
      <c r="AR9" s="2" t="s">
        <v>150</v>
      </c>
      <c r="AS9" s="6">
        <v>1</v>
      </c>
      <c r="AT9" s="6">
        <v>1</v>
      </c>
      <c r="AU9" s="6">
        <v>2</v>
      </c>
      <c r="AV9" s="6">
        <v>1</v>
      </c>
      <c r="AW9" s="6">
        <v>2</v>
      </c>
      <c r="AX9">
        <f t="shared" si="2"/>
        <v>5</v>
      </c>
    </row>
    <row r="10" spans="1:50" x14ac:dyDescent="0.25">
      <c r="A10" t="s">
        <v>128</v>
      </c>
      <c r="B10" t="s">
        <v>128</v>
      </c>
      <c r="E10" t="s">
        <v>128</v>
      </c>
      <c r="F10" s="33">
        <v>9</v>
      </c>
      <c r="G10" s="34" t="s">
        <v>78</v>
      </c>
      <c r="H10" s="34" t="s">
        <v>24</v>
      </c>
      <c r="I10" s="34" t="s">
        <v>200</v>
      </c>
      <c r="J10" s="35">
        <f>'Skoring BK'!$E$3</f>
        <v>0.16666666666666666</v>
      </c>
      <c r="K10" s="35">
        <f>'Skoring BK'!$F$3</f>
        <v>0.33333333333333331</v>
      </c>
      <c r="L10" s="35">
        <f>'Skoring BK'!$G$3</f>
        <v>0.5</v>
      </c>
      <c r="N10" s="6">
        <v>9</v>
      </c>
      <c r="O10" s="6" t="s">
        <v>161</v>
      </c>
      <c r="P10" s="6">
        <v>1</v>
      </c>
      <c r="Q10" s="6">
        <v>1</v>
      </c>
      <c r="T10" s="6">
        <v>9</v>
      </c>
      <c r="U10" s="6" t="s">
        <v>161</v>
      </c>
      <c r="V10" s="6">
        <v>1</v>
      </c>
      <c r="Y10" s="13">
        <v>9</v>
      </c>
      <c r="Z10" s="13" t="s">
        <v>161</v>
      </c>
      <c r="AA10" s="13">
        <v>1</v>
      </c>
      <c r="AB10" s="13">
        <v>1</v>
      </c>
      <c r="AC10" s="13">
        <v>1</v>
      </c>
      <c r="AD10" s="13">
        <f t="shared" si="0"/>
        <v>3</v>
      </c>
      <c r="AE10" s="13">
        <v>2</v>
      </c>
      <c r="AG10" s="6">
        <v>9</v>
      </c>
      <c r="AH10" s="2" t="s">
        <v>161</v>
      </c>
      <c r="AI10" s="6">
        <v>1</v>
      </c>
      <c r="AJ10" s="6">
        <v>1</v>
      </c>
      <c r="AK10" s="6">
        <v>1</v>
      </c>
      <c r="AL10" s="6">
        <v>1</v>
      </c>
      <c r="AM10" s="6">
        <v>1</v>
      </c>
      <c r="AN10">
        <f t="shared" si="1"/>
        <v>3</v>
      </c>
      <c r="AP10" s="6">
        <v>9</v>
      </c>
      <c r="AQ10" s="2"/>
      <c r="AR10" s="2" t="s">
        <v>161</v>
      </c>
      <c r="AS10" s="6">
        <v>1</v>
      </c>
      <c r="AT10" s="6">
        <v>2</v>
      </c>
      <c r="AU10" s="6">
        <v>1</v>
      </c>
      <c r="AV10" s="6">
        <v>1</v>
      </c>
      <c r="AW10" s="6">
        <v>1</v>
      </c>
      <c r="AX10">
        <f t="shared" si="2"/>
        <v>3</v>
      </c>
    </row>
    <row r="11" spans="1:50" x14ac:dyDescent="0.25">
      <c r="A11" t="s">
        <v>129</v>
      </c>
      <c r="B11" t="s">
        <v>129</v>
      </c>
      <c r="E11" t="s">
        <v>129</v>
      </c>
      <c r="F11" s="33">
        <v>10</v>
      </c>
      <c r="G11" s="34" t="s">
        <v>210</v>
      </c>
      <c r="H11" s="34" t="s">
        <v>24</v>
      </c>
      <c r="I11" s="34" t="s">
        <v>200</v>
      </c>
      <c r="J11" s="35">
        <f>'Skoring BK'!$E$3</f>
        <v>0.16666666666666666</v>
      </c>
      <c r="K11" s="35">
        <f>'Skoring BK'!$F$3</f>
        <v>0.33333333333333331</v>
      </c>
      <c r="L11" s="35">
        <f>'Skoring BK'!$G$3</f>
        <v>0.5</v>
      </c>
      <c r="N11" s="6">
        <v>10</v>
      </c>
      <c r="O11" s="6" t="s">
        <v>79</v>
      </c>
      <c r="P11" s="6">
        <v>3</v>
      </c>
      <c r="Q11" s="6">
        <v>2</v>
      </c>
      <c r="T11" s="6">
        <v>10</v>
      </c>
      <c r="U11" s="6" t="s">
        <v>79</v>
      </c>
      <c r="V11" s="6">
        <v>2</v>
      </c>
      <c r="Y11" s="13">
        <v>10</v>
      </c>
      <c r="Z11" s="13" t="s">
        <v>79</v>
      </c>
      <c r="AA11" s="13">
        <v>3</v>
      </c>
      <c r="AB11" s="13">
        <v>2</v>
      </c>
      <c r="AC11" s="13">
        <v>2</v>
      </c>
      <c r="AD11" s="13">
        <f t="shared" si="0"/>
        <v>7</v>
      </c>
      <c r="AE11" s="13">
        <v>3</v>
      </c>
      <c r="AG11" s="6">
        <v>10</v>
      </c>
      <c r="AH11" s="2" t="s">
        <v>79</v>
      </c>
      <c r="AI11" s="6">
        <v>3</v>
      </c>
      <c r="AJ11" s="6">
        <v>2</v>
      </c>
      <c r="AK11" s="6">
        <v>3</v>
      </c>
      <c r="AL11" s="6">
        <v>2</v>
      </c>
      <c r="AM11" s="6">
        <v>2</v>
      </c>
      <c r="AN11">
        <f t="shared" si="1"/>
        <v>7</v>
      </c>
      <c r="AP11" s="6">
        <v>10</v>
      </c>
      <c r="AQ11" s="2"/>
      <c r="AR11" s="2" t="s">
        <v>79</v>
      </c>
      <c r="AS11" s="6">
        <v>3</v>
      </c>
      <c r="AT11" s="6">
        <v>2</v>
      </c>
      <c r="AU11" s="6">
        <v>3</v>
      </c>
      <c r="AV11" s="6">
        <v>2</v>
      </c>
      <c r="AW11" s="6">
        <v>2</v>
      </c>
      <c r="AX11">
        <f t="shared" si="2"/>
        <v>7</v>
      </c>
    </row>
    <row r="12" spans="1:50" x14ac:dyDescent="0.25">
      <c r="A12" t="s">
        <v>98</v>
      </c>
      <c r="B12" t="s">
        <v>98</v>
      </c>
      <c r="E12" t="s">
        <v>100</v>
      </c>
      <c r="F12" s="33">
        <v>11</v>
      </c>
      <c r="G12" s="34" t="s">
        <v>79</v>
      </c>
      <c r="H12" s="34" t="s">
        <v>24</v>
      </c>
      <c r="I12" s="34" t="s">
        <v>200</v>
      </c>
      <c r="J12" s="35">
        <f>'Skoring BK'!$E$3</f>
        <v>0.16666666666666666</v>
      </c>
      <c r="K12" s="35">
        <f>'Skoring BK'!$F$3</f>
        <v>0.33333333333333331</v>
      </c>
      <c r="L12" s="35">
        <f>'Skoring BK'!$G$3</f>
        <v>0.5</v>
      </c>
      <c r="N12" s="6">
        <v>11</v>
      </c>
      <c r="O12" s="6" t="s">
        <v>152</v>
      </c>
      <c r="P12" s="6">
        <v>3</v>
      </c>
      <c r="Q12" s="6">
        <v>2</v>
      </c>
      <c r="T12" s="6">
        <v>11</v>
      </c>
      <c r="U12" s="6" t="s">
        <v>152</v>
      </c>
      <c r="V12" s="6">
        <v>2</v>
      </c>
      <c r="Y12" s="13">
        <v>11</v>
      </c>
      <c r="Z12" s="13" t="s">
        <v>152</v>
      </c>
      <c r="AA12" s="13">
        <v>2</v>
      </c>
      <c r="AB12" s="13">
        <v>2</v>
      </c>
      <c r="AC12" s="13">
        <v>2</v>
      </c>
      <c r="AD12" s="13">
        <f t="shared" si="0"/>
        <v>6</v>
      </c>
      <c r="AE12" s="13">
        <v>3</v>
      </c>
      <c r="AG12" s="6">
        <v>11</v>
      </c>
      <c r="AH12" s="2" t="s">
        <v>152</v>
      </c>
      <c r="AI12" s="6">
        <v>2</v>
      </c>
      <c r="AJ12" s="6">
        <v>2</v>
      </c>
      <c r="AK12" s="6">
        <v>2</v>
      </c>
      <c r="AL12" s="6">
        <v>2</v>
      </c>
      <c r="AM12" s="6">
        <v>2</v>
      </c>
      <c r="AN12">
        <f t="shared" si="1"/>
        <v>6</v>
      </c>
      <c r="AP12" s="6">
        <v>11</v>
      </c>
      <c r="AQ12" s="2"/>
      <c r="AR12" s="2" t="s">
        <v>152</v>
      </c>
      <c r="AS12" s="6">
        <v>2</v>
      </c>
      <c r="AT12" s="6">
        <v>2</v>
      </c>
      <c r="AU12" s="6">
        <v>2</v>
      </c>
      <c r="AV12" s="6">
        <v>2</v>
      </c>
      <c r="AW12" s="6">
        <v>2</v>
      </c>
      <c r="AX12">
        <f t="shared" si="2"/>
        <v>6</v>
      </c>
    </row>
    <row r="13" spans="1:50" x14ac:dyDescent="0.25">
      <c r="A13" t="s">
        <v>97</v>
      </c>
      <c r="B13" t="s">
        <v>97</v>
      </c>
      <c r="E13" t="s">
        <v>98</v>
      </c>
      <c r="F13" s="33">
        <v>12</v>
      </c>
      <c r="G13" s="34" t="s">
        <v>128</v>
      </c>
      <c r="H13" s="34" t="s">
        <v>24</v>
      </c>
      <c r="I13" s="34" t="s">
        <v>200</v>
      </c>
      <c r="J13" s="35">
        <f>'Skoring BK'!$E$3</f>
        <v>0.16666666666666666</v>
      </c>
      <c r="K13" s="35">
        <f>'Skoring BK'!$F$3</f>
        <v>0.33333333333333331</v>
      </c>
      <c r="L13" s="35">
        <f>'Skoring BK'!$G$3</f>
        <v>0.5</v>
      </c>
      <c r="N13" s="6">
        <v>12</v>
      </c>
      <c r="O13" s="6" t="s">
        <v>157</v>
      </c>
      <c r="P13" s="6">
        <v>2</v>
      </c>
      <c r="Q13" s="6">
        <v>2</v>
      </c>
      <c r="T13" s="6">
        <v>12</v>
      </c>
      <c r="U13" s="6" t="s">
        <v>157</v>
      </c>
      <c r="V13" s="6">
        <v>2</v>
      </c>
      <c r="Y13" s="13">
        <v>12</v>
      </c>
      <c r="Z13" s="13" t="s">
        <v>157</v>
      </c>
      <c r="AA13" s="13">
        <v>1</v>
      </c>
      <c r="AB13" s="13">
        <v>2</v>
      </c>
      <c r="AC13" s="13">
        <v>2</v>
      </c>
      <c r="AD13" s="13">
        <f t="shared" si="0"/>
        <v>5</v>
      </c>
      <c r="AE13" s="13">
        <v>2</v>
      </c>
      <c r="AG13" s="6">
        <v>12</v>
      </c>
      <c r="AH13" s="2" t="s">
        <v>157</v>
      </c>
      <c r="AI13" s="6">
        <v>2</v>
      </c>
      <c r="AJ13" s="6">
        <v>2</v>
      </c>
      <c r="AK13" s="6">
        <v>1</v>
      </c>
      <c r="AL13" s="6">
        <v>2</v>
      </c>
      <c r="AM13" s="6">
        <v>2</v>
      </c>
      <c r="AN13">
        <f t="shared" si="1"/>
        <v>5</v>
      </c>
      <c r="AP13" s="6">
        <v>12</v>
      </c>
      <c r="AQ13" s="2"/>
      <c r="AR13" s="2" t="s">
        <v>157</v>
      </c>
      <c r="AS13" s="6">
        <v>2</v>
      </c>
      <c r="AT13" s="6">
        <v>2</v>
      </c>
      <c r="AU13" s="6">
        <v>1</v>
      </c>
      <c r="AV13" s="6">
        <v>2</v>
      </c>
      <c r="AW13" s="6">
        <v>2</v>
      </c>
      <c r="AX13">
        <f t="shared" si="2"/>
        <v>5</v>
      </c>
    </row>
    <row r="14" spans="1:50" x14ac:dyDescent="0.25">
      <c r="A14" t="s">
        <v>89</v>
      </c>
      <c r="B14" t="s">
        <v>89</v>
      </c>
      <c r="E14" t="s">
        <v>97</v>
      </c>
      <c r="F14" s="33">
        <v>13</v>
      </c>
      <c r="G14" s="34" t="s">
        <v>129</v>
      </c>
      <c r="H14" s="34" t="s">
        <v>24</v>
      </c>
      <c r="I14" s="34" t="s">
        <v>200</v>
      </c>
      <c r="J14" s="35">
        <f>'Skoring BK'!$E$3</f>
        <v>0.16666666666666666</v>
      </c>
      <c r="K14" s="35">
        <f>'Skoring BK'!$F$3</f>
        <v>0.33333333333333331</v>
      </c>
      <c r="L14" s="35">
        <f>'Skoring BK'!$G$3</f>
        <v>0.5</v>
      </c>
      <c r="N14" s="6">
        <v>13</v>
      </c>
      <c r="O14" s="6" t="s">
        <v>90</v>
      </c>
      <c r="P14" s="6">
        <v>2</v>
      </c>
      <c r="Q14" s="6">
        <v>2</v>
      </c>
      <c r="T14" s="6">
        <v>13</v>
      </c>
      <c r="U14" s="6" t="s">
        <v>90</v>
      </c>
      <c r="V14" s="6">
        <v>2</v>
      </c>
      <c r="Y14" s="13">
        <v>13</v>
      </c>
      <c r="Z14" s="13" t="s">
        <v>90</v>
      </c>
      <c r="AA14" s="13">
        <v>2</v>
      </c>
      <c r="AB14" s="13">
        <v>1</v>
      </c>
      <c r="AC14" s="13">
        <v>2</v>
      </c>
      <c r="AD14" s="13">
        <f t="shared" si="0"/>
        <v>5</v>
      </c>
      <c r="AE14" s="13">
        <v>2</v>
      </c>
      <c r="AG14" s="6">
        <v>13</v>
      </c>
      <c r="AH14" s="2" t="s">
        <v>90</v>
      </c>
      <c r="AI14" s="6">
        <v>2</v>
      </c>
      <c r="AJ14" s="6">
        <v>2</v>
      </c>
      <c r="AK14" s="6">
        <v>2</v>
      </c>
      <c r="AL14" s="6">
        <v>1</v>
      </c>
      <c r="AM14" s="6">
        <v>2</v>
      </c>
      <c r="AN14">
        <f t="shared" si="1"/>
        <v>5</v>
      </c>
      <c r="AP14" s="6">
        <v>13</v>
      </c>
      <c r="AQ14" s="2"/>
      <c r="AR14" s="2" t="s">
        <v>90</v>
      </c>
      <c r="AS14" s="6">
        <v>2</v>
      </c>
      <c r="AT14" s="6">
        <v>2</v>
      </c>
      <c r="AU14" s="6">
        <v>2</v>
      </c>
      <c r="AV14" s="6">
        <v>1</v>
      </c>
      <c r="AW14" s="6">
        <v>2</v>
      </c>
      <c r="AX14">
        <f t="shared" si="2"/>
        <v>5</v>
      </c>
    </row>
    <row r="15" spans="1:50" x14ac:dyDescent="0.25">
      <c r="A15" t="s">
        <v>88</v>
      </c>
      <c r="B15" t="s">
        <v>88</v>
      </c>
      <c r="E15" t="s">
        <v>89</v>
      </c>
      <c r="F15" s="33">
        <v>14</v>
      </c>
      <c r="G15" s="34" t="s">
        <v>126</v>
      </c>
      <c r="H15" s="34" t="s">
        <v>24</v>
      </c>
      <c r="I15" s="34" t="s">
        <v>200</v>
      </c>
      <c r="J15" s="35">
        <f>'Skoring BK'!$E$3</f>
        <v>0.16666666666666666</v>
      </c>
      <c r="K15" s="35">
        <f>'Skoring BK'!$F$3</f>
        <v>0.33333333333333331</v>
      </c>
      <c r="L15" s="35">
        <f>'Skoring BK'!$G$3</f>
        <v>0.5</v>
      </c>
      <c r="N15" s="6">
        <v>14</v>
      </c>
      <c r="O15" s="6" t="s">
        <v>163</v>
      </c>
      <c r="P15" s="6">
        <v>2</v>
      </c>
      <c r="Q15" s="6">
        <v>2</v>
      </c>
      <c r="T15" s="6">
        <v>14</v>
      </c>
      <c r="U15" s="6" t="s">
        <v>163</v>
      </c>
      <c r="V15" s="6">
        <v>2</v>
      </c>
      <c r="Y15" s="13">
        <v>14</v>
      </c>
      <c r="Z15" s="13" t="s">
        <v>163</v>
      </c>
      <c r="AA15" s="13">
        <v>1</v>
      </c>
      <c r="AB15" s="13">
        <v>1</v>
      </c>
      <c r="AC15" s="13">
        <v>2</v>
      </c>
      <c r="AD15" s="13">
        <f t="shared" si="0"/>
        <v>4</v>
      </c>
      <c r="AE15" s="13">
        <v>2</v>
      </c>
      <c r="AG15" s="6">
        <v>14</v>
      </c>
      <c r="AH15" s="2" t="s">
        <v>163</v>
      </c>
      <c r="AI15" s="6">
        <v>2</v>
      </c>
      <c r="AJ15" s="6">
        <v>2</v>
      </c>
      <c r="AK15" s="6">
        <v>1</v>
      </c>
      <c r="AL15" s="6">
        <v>1</v>
      </c>
      <c r="AM15" s="6">
        <v>2</v>
      </c>
      <c r="AN15">
        <f t="shared" si="1"/>
        <v>4</v>
      </c>
      <c r="AP15" s="6">
        <v>14</v>
      </c>
      <c r="AQ15" s="2"/>
      <c r="AR15" s="2" t="s">
        <v>163</v>
      </c>
      <c r="AS15" s="6">
        <v>2</v>
      </c>
      <c r="AT15" s="6">
        <v>2</v>
      </c>
      <c r="AU15" s="6">
        <v>1</v>
      </c>
      <c r="AV15" s="6">
        <v>1</v>
      </c>
      <c r="AW15" s="6">
        <v>2</v>
      </c>
      <c r="AX15">
        <f t="shared" si="2"/>
        <v>4</v>
      </c>
    </row>
    <row r="16" spans="1:50" x14ac:dyDescent="0.25">
      <c r="A16" t="s">
        <v>102</v>
      </c>
      <c r="B16" t="s">
        <v>102</v>
      </c>
      <c r="E16" t="s">
        <v>88</v>
      </c>
      <c r="F16" s="33">
        <v>15</v>
      </c>
      <c r="G16" s="34" t="s">
        <v>90</v>
      </c>
      <c r="H16" s="34" t="s">
        <v>24</v>
      </c>
      <c r="I16" s="34" t="s">
        <v>201</v>
      </c>
      <c r="J16" s="35">
        <f>'Skoring BK'!$E$3</f>
        <v>0.16666666666666666</v>
      </c>
      <c r="K16" s="35">
        <f>'Skoring BK'!$F$3</f>
        <v>0.33333333333333331</v>
      </c>
      <c r="L16" s="35">
        <f>'Skoring BK'!$G$3</f>
        <v>0.5</v>
      </c>
      <c r="N16" s="6">
        <v>15</v>
      </c>
      <c r="O16" s="6" t="s">
        <v>158</v>
      </c>
      <c r="P16" s="6">
        <v>1</v>
      </c>
      <c r="Q16" s="6">
        <v>2</v>
      </c>
      <c r="T16" s="6">
        <v>15</v>
      </c>
      <c r="U16" s="6" t="s">
        <v>158</v>
      </c>
      <c r="V16" s="6">
        <v>2</v>
      </c>
      <c r="Y16" s="13">
        <v>15</v>
      </c>
      <c r="Z16" s="13" t="s">
        <v>158</v>
      </c>
      <c r="AA16" s="13">
        <v>1</v>
      </c>
      <c r="AB16" s="13">
        <v>2</v>
      </c>
      <c r="AC16" s="13">
        <v>1</v>
      </c>
      <c r="AD16" s="13">
        <f t="shared" si="0"/>
        <v>4</v>
      </c>
      <c r="AE16" s="13">
        <v>2</v>
      </c>
      <c r="AG16" s="6">
        <v>15</v>
      </c>
      <c r="AH16" s="2" t="s">
        <v>158</v>
      </c>
      <c r="AI16" s="6">
        <v>1</v>
      </c>
      <c r="AJ16" s="6">
        <v>2</v>
      </c>
      <c r="AK16" s="6">
        <v>1</v>
      </c>
      <c r="AL16" s="6">
        <v>2</v>
      </c>
      <c r="AM16" s="6">
        <v>1</v>
      </c>
      <c r="AN16">
        <f t="shared" si="1"/>
        <v>4</v>
      </c>
      <c r="AP16" s="6">
        <v>15</v>
      </c>
      <c r="AQ16" s="2"/>
      <c r="AR16" s="2" t="s">
        <v>158</v>
      </c>
      <c r="AS16" s="6">
        <v>1</v>
      </c>
      <c r="AT16" s="6">
        <v>2</v>
      </c>
      <c r="AU16" s="6">
        <v>1</v>
      </c>
      <c r="AV16" s="6">
        <v>2</v>
      </c>
      <c r="AW16" s="6">
        <v>1</v>
      </c>
      <c r="AX16">
        <f t="shared" si="2"/>
        <v>4</v>
      </c>
    </row>
    <row r="17" spans="1:50" x14ac:dyDescent="0.25">
      <c r="A17" t="s">
        <v>96</v>
      </c>
      <c r="B17" t="s">
        <v>96</v>
      </c>
      <c r="E17" t="s">
        <v>102</v>
      </c>
      <c r="F17" s="33">
        <v>16</v>
      </c>
      <c r="G17" s="34" t="s">
        <v>82</v>
      </c>
      <c r="H17" s="34" t="s">
        <v>24</v>
      </c>
      <c r="I17" s="34" t="s">
        <v>203</v>
      </c>
      <c r="J17" s="35">
        <f>'Skoring BK'!$E$3</f>
        <v>0.16666666666666666</v>
      </c>
      <c r="K17" s="35">
        <f>'Skoring BK'!$F$3</f>
        <v>0.33333333333333331</v>
      </c>
      <c r="L17" s="35">
        <f>'Skoring BK'!$G$3</f>
        <v>0.5</v>
      </c>
      <c r="N17" s="6">
        <v>16</v>
      </c>
      <c r="O17" s="6" t="s">
        <v>210</v>
      </c>
      <c r="P17" s="6">
        <v>2</v>
      </c>
      <c r="Q17" s="6">
        <v>2</v>
      </c>
      <c r="T17" s="6">
        <v>16</v>
      </c>
      <c r="U17" s="6" t="s">
        <v>210</v>
      </c>
      <c r="V17" s="6">
        <v>2</v>
      </c>
      <c r="Y17" s="13">
        <v>16</v>
      </c>
      <c r="Z17" s="13" t="s">
        <v>210</v>
      </c>
      <c r="AA17" s="13">
        <v>2</v>
      </c>
      <c r="AB17" s="13">
        <v>2</v>
      </c>
      <c r="AC17" s="13">
        <v>2</v>
      </c>
      <c r="AD17" s="13">
        <f t="shared" si="0"/>
        <v>6</v>
      </c>
      <c r="AE17" s="13">
        <v>3</v>
      </c>
      <c r="AG17" s="6">
        <v>16</v>
      </c>
      <c r="AH17" s="2" t="s">
        <v>210</v>
      </c>
      <c r="AI17" s="6">
        <v>2</v>
      </c>
      <c r="AJ17" s="6">
        <v>2</v>
      </c>
      <c r="AK17" s="6">
        <v>2</v>
      </c>
      <c r="AL17" s="6">
        <v>2</v>
      </c>
      <c r="AM17" s="6">
        <v>1</v>
      </c>
      <c r="AN17">
        <f t="shared" si="1"/>
        <v>5</v>
      </c>
      <c r="AP17" s="6">
        <v>16</v>
      </c>
      <c r="AQ17" s="2"/>
      <c r="AR17" s="2"/>
      <c r="AS17" s="6"/>
      <c r="AT17" s="6"/>
      <c r="AU17" s="6"/>
      <c r="AV17" s="6"/>
      <c r="AW17" s="6"/>
    </row>
    <row r="18" spans="1:50" x14ac:dyDescent="0.25">
      <c r="A18" t="s">
        <v>83</v>
      </c>
      <c r="B18" t="s">
        <v>83</v>
      </c>
      <c r="E18" t="s">
        <v>96</v>
      </c>
      <c r="F18" s="33">
        <v>17</v>
      </c>
      <c r="G18" s="34" t="s">
        <v>96</v>
      </c>
      <c r="H18" s="34" t="s">
        <v>204</v>
      </c>
      <c r="I18" s="34" t="s">
        <v>200</v>
      </c>
      <c r="J18" s="35">
        <f>'Skoring BK'!$E$4</f>
        <v>0.33333333333333331</v>
      </c>
      <c r="K18" s="35">
        <f>'Skoring BK'!$F$4</f>
        <v>0.33333333333333331</v>
      </c>
      <c r="L18" s="35">
        <f>'Skoring BK'!$G$4</f>
        <v>0.33333333333333331</v>
      </c>
      <c r="N18" s="6">
        <v>17</v>
      </c>
      <c r="O18" s="6" t="s">
        <v>108</v>
      </c>
      <c r="P18" s="6">
        <v>2</v>
      </c>
      <c r="Q18" s="6">
        <v>2</v>
      </c>
      <c r="T18" s="6">
        <v>17</v>
      </c>
      <c r="U18" s="6" t="s">
        <v>108</v>
      </c>
      <c r="V18" s="6">
        <v>2</v>
      </c>
      <c r="Y18" s="13">
        <v>17</v>
      </c>
      <c r="Z18" s="13" t="s">
        <v>108</v>
      </c>
      <c r="AA18" s="13">
        <v>1</v>
      </c>
      <c r="AB18" s="13">
        <v>2</v>
      </c>
      <c r="AC18" s="13">
        <v>2</v>
      </c>
      <c r="AD18" s="13">
        <f t="shared" si="0"/>
        <v>5</v>
      </c>
      <c r="AE18" s="13">
        <v>2</v>
      </c>
      <c r="AG18" s="6">
        <v>17</v>
      </c>
      <c r="AH18" s="2" t="s">
        <v>108</v>
      </c>
      <c r="AI18" s="6">
        <v>2</v>
      </c>
      <c r="AJ18" s="6">
        <v>2</v>
      </c>
      <c r="AK18" s="6">
        <v>1</v>
      </c>
      <c r="AL18" s="6">
        <v>2</v>
      </c>
      <c r="AM18" s="6">
        <v>2</v>
      </c>
      <c r="AN18">
        <f t="shared" si="1"/>
        <v>5</v>
      </c>
      <c r="AP18" s="6">
        <v>17</v>
      </c>
      <c r="AQ18" s="2"/>
      <c r="AR18" s="2"/>
      <c r="AS18" s="6"/>
      <c r="AT18" s="6"/>
      <c r="AU18" s="6"/>
      <c r="AV18" s="6"/>
      <c r="AW18" s="6"/>
    </row>
    <row r="19" spans="1:50" x14ac:dyDescent="0.25">
      <c r="A19" t="s">
        <v>139</v>
      </c>
      <c r="B19" t="s">
        <v>139</v>
      </c>
      <c r="E19" t="s">
        <v>83</v>
      </c>
      <c r="F19" s="33">
        <v>18</v>
      </c>
      <c r="G19" s="34" t="s">
        <v>164</v>
      </c>
      <c r="H19" s="34" t="s">
        <v>204</v>
      </c>
      <c r="I19" s="34" t="s">
        <v>200</v>
      </c>
      <c r="J19" s="35">
        <f>'Skoring BK'!$E$4</f>
        <v>0.33333333333333331</v>
      </c>
      <c r="K19" s="35">
        <f>'Skoring BK'!$F$4</f>
        <v>0.33333333333333331</v>
      </c>
      <c r="L19" s="35">
        <f>'Skoring BK'!$G$4</f>
        <v>0.33333333333333331</v>
      </c>
      <c r="N19" s="6">
        <v>18</v>
      </c>
      <c r="O19" s="6" t="s">
        <v>115</v>
      </c>
      <c r="P19" s="6">
        <v>3</v>
      </c>
      <c r="Q19" s="6">
        <v>2</v>
      </c>
      <c r="T19" s="6">
        <v>18</v>
      </c>
      <c r="U19" s="6" t="s">
        <v>115</v>
      </c>
      <c r="V19" s="6">
        <v>2</v>
      </c>
      <c r="Y19" s="13">
        <v>18</v>
      </c>
      <c r="Z19" s="13" t="s">
        <v>115</v>
      </c>
      <c r="AA19" s="13">
        <v>2</v>
      </c>
      <c r="AB19" s="13">
        <v>1</v>
      </c>
      <c r="AC19" s="13">
        <v>2</v>
      </c>
      <c r="AD19" s="13">
        <f t="shared" si="0"/>
        <v>5</v>
      </c>
      <c r="AE19" s="13">
        <v>2</v>
      </c>
      <c r="AG19" s="6">
        <v>18</v>
      </c>
      <c r="AH19" s="2" t="s">
        <v>115</v>
      </c>
      <c r="AI19" s="6">
        <v>2</v>
      </c>
      <c r="AJ19" s="6">
        <v>2</v>
      </c>
      <c r="AK19" s="6">
        <v>2</v>
      </c>
      <c r="AL19" s="6">
        <v>1</v>
      </c>
      <c r="AM19" s="6">
        <v>2</v>
      </c>
      <c r="AN19">
        <f t="shared" si="1"/>
        <v>5</v>
      </c>
      <c r="AP19" s="6">
        <v>18</v>
      </c>
      <c r="AQ19" s="2"/>
      <c r="AR19" s="2" t="s">
        <v>115</v>
      </c>
      <c r="AS19" s="6">
        <v>2</v>
      </c>
      <c r="AT19" s="6">
        <v>2</v>
      </c>
      <c r="AU19" s="6">
        <v>2</v>
      </c>
      <c r="AV19" s="6">
        <v>1</v>
      </c>
      <c r="AW19" s="6">
        <v>2</v>
      </c>
      <c r="AX19">
        <f t="shared" si="2"/>
        <v>5</v>
      </c>
    </row>
    <row r="20" spans="1:50" x14ac:dyDescent="0.25">
      <c r="A20" t="s">
        <v>140</v>
      </c>
      <c r="B20" t="s">
        <v>140</v>
      </c>
      <c r="E20" t="s">
        <v>139</v>
      </c>
      <c r="F20" s="33">
        <v>19</v>
      </c>
      <c r="G20" s="34" t="s">
        <v>115</v>
      </c>
      <c r="H20" s="34" t="s">
        <v>204</v>
      </c>
      <c r="I20" s="34" t="s">
        <v>200</v>
      </c>
      <c r="J20" s="35">
        <f>'Skoring BK'!$E$4</f>
        <v>0.33333333333333331</v>
      </c>
      <c r="K20" s="35">
        <f>'Skoring BK'!$F$4</f>
        <v>0.33333333333333331</v>
      </c>
      <c r="L20" s="35">
        <f>'Skoring BK'!$G$4</f>
        <v>0.33333333333333331</v>
      </c>
      <c r="N20" s="6">
        <v>19</v>
      </c>
      <c r="O20" s="6" t="s">
        <v>121</v>
      </c>
      <c r="P20" s="6">
        <v>3</v>
      </c>
      <c r="Q20" s="6">
        <v>3</v>
      </c>
      <c r="T20" s="6">
        <v>19</v>
      </c>
      <c r="U20" s="6" t="s">
        <v>121</v>
      </c>
      <c r="V20" s="6">
        <v>3</v>
      </c>
      <c r="Y20" s="13">
        <v>19</v>
      </c>
      <c r="Z20" s="13" t="s">
        <v>121</v>
      </c>
      <c r="AA20" s="13">
        <v>3</v>
      </c>
      <c r="AB20" s="13">
        <v>2</v>
      </c>
      <c r="AC20" s="13">
        <v>2</v>
      </c>
      <c r="AD20" s="13">
        <f t="shared" si="0"/>
        <v>7</v>
      </c>
      <c r="AE20" s="13">
        <v>3</v>
      </c>
      <c r="AG20" s="6">
        <v>19</v>
      </c>
      <c r="AH20" s="2" t="s">
        <v>121</v>
      </c>
      <c r="AI20" s="6">
        <v>3</v>
      </c>
      <c r="AJ20" s="6">
        <v>3</v>
      </c>
      <c r="AK20" s="6">
        <v>3</v>
      </c>
      <c r="AL20" s="6">
        <v>2</v>
      </c>
      <c r="AM20" s="6">
        <v>2</v>
      </c>
      <c r="AN20">
        <f t="shared" si="1"/>
        <v>7</v>
      </c>
      <c r="AP20" s="6">
        <v>19</v>
      </c>
      <c r="AQ20" s="2"/>
      <c r="AR20" s="2" t="s">
        <v>121</v>
      </c>
      <c r="AS20" s="6">
        <v>3</v>
      </c>
      <c r="AT20" s="6">
        <v>3</v>
      </c>
      <c r="AU20" s="6">
        <v>3</v>
      </c>
      <c r="AV20" s="6">
        <v>2</v>
      </c>
      <c r="AW20" s="6">
        <v>2</v>
      </c>
      <c r="AX20">
        <f t="shared" si="2"/>
        <v>7</v>
      </c>
    </row>
    <row r="21" spans="1:50" x14ac:dyDescent="0.25">
      <c r="A21" t="s">
        <v>136</v>
      </c>
      <c r="B21" t="s">
        <v>106</v>
      </c>
      <c r="E21" t="s">
        <v>140</v>
      </c>
      <c r="F21" s="33">
        <v>20</v>
      </c>
      <c r="G21" s="34" t="s">
        <v>106</v>
      </c>
      <c r="H21" s="34" t="s">
        <v>204</v>
      </c>
      <c r="I21" s="34" t="s">
        <v>200</v>
      </c>
      <c r="J21" s="35">
        <f>'Skoring BK'!$E$4</f>
        <v>0.33333333333333331</v>
      </c>
      <c r="K21" s="35">
        <f>'Skoring BK'!$F$4</f>
        <v>0.33333333333333331</v>
      </c>
      <c r="L21" s="35">
        <f>'Skoring BK'!$G$4</f>
        <v>0.33333333333333331</v>
      </c>
      <c r="N21" s="6">
        <v>20</v>
      </c>
      <c r="O21" s="6" t="s">
        <v>122</v>
      </c>
      <c r="P21" s="6">
        <v>3</v>
      </c>
      <c r="Q21" s="6">
        <v>3</v>
      </c>
      <c r="T21" s="6">
        <v>20</v>
      </c>
      <c r="U21" s="6" t="s">
        <v>122</v>
      </c>
      <c r="V21" s="6">
        <v>3</v>
      </c>
      <c r="Y21" s="13">
        <v>20</v>
      </c>
      <c r="Z21" s="13" t="s">
        <v>122</v>
      </c>
      <c r="AA21" s="13">
        <v>3</v>
      </c>
      <c r="AB21" s="13">
        <v>2</v>
      </c>
      <c r="AC21" s="13">
        <v>2</v>
      </c>
      <c r="AD21" s="13">
        <f t="shared" si="0"/>
        <v>7</v>
      </c>
      <c r="AE21" s="13">
        <v>3</v>
      </c>
      <c r="AG21" s="6">
        <v>20</v>
      </c>
      <c r="AH21" s="2" t="s">
        <v>122</v>
      </c>
      <c r="AI21" s="6">
        <v>3</v>
      </c>
      <c r="AJ21" s="6">
        <v>3</v>
      </c>
      <c r="AK21" s="6">
        <v>3</v>
      </c>
      <c r="AL21" s="6">
        <v>2</v>
      </c>
      <c r="AM21" s="6">
        <v>2</v>
      </c>
      <c r="AN21">
        <f t="shared" si="1"/>
        <v>7</v>
      </c>
      <c r="AP21" s="6">
        <v>20</v>
      </c>
      <c r="AQ21" s="2"/>
      <c r="AR21" s="2" t="s">
        <v>122</v>
      </c>
      <c r="AS21" s="6">
        <v>3</v>
      </c>
      <c r="AT21" s="6">
        <v>3</v>
      </c>
      <c r="AU21" s="6">
        <v>3</v>
      </c>
      <c r="AV21" s="6">
        <v>2</v>
      </c>
      <c r="AW21" s="6">
        <v>2</v>
      </c>
      <c r="AX21">
        <f t="shared" si="2"/>
        <v>7</v>
      </c>
    </row>
    <row r="22" spans="1:50" x14ac:dyDescent="0.25">
      <c r="A22" t="s">
        <v>86</v>
      </c>
      <c r="B22" t="s">
        <v>86</v>
      </c>
      <c r="E22" t="s">
        <v>106</v>
      </c>
      <c r="F22" s="33">
        <v>21</v>
      </c>
      <c r="G22" s="34" t="s">
        <v>140</v>
      </c>
      <c r="H22" s="34" t="s">
        <v>204</v>
      </c>
      <c r="I22" s="34" t="s">
        <v>200</v>
      </c>
      <c r="J22" s="35">
        <f>'Skoring BK'!$E$4</f>
        <v>0.33333333333333331</v>
      </c>
      <c r="K22" s="35">
        <f>'Skoring BK'!$F$4</f>
        <v>0.33333333333333331</v>
      </c>
      <c r="L22" s="35">
        <f>'Skoring BK'!$G$4</f>
        <v>0.33333333333333331</v>
      </c>
      <c r="N22" s="6">
        <v>21</v>
      </c>
      <c r="O22" s="6" t="s">
        <v>126</v>
      </c>
      <c r="P22" s="6">
        <v>3</v>
      </c>
      <c r="Q22" s="6">
        <v>3</v>
      </c>
      <c r="T22" s="6">
        <v>21</v>
      </c>
      <c r="U22" s="6" t="s">
        <v>126</v>
      </c>
      <c r="V22" s="6">
        <v>3</v>
      </c>
      <c r="Y22" s="13">
        <v>21</v>
      </c>
      <c r="Z22" s="13" t="s">
        <v>126</v>
      </c>
      <c r="AA22" s="13">
        <v>3</v>
      </c>
      <c r="AB22" s="13">
        <v>3</v>
      </c>
      <c r="AC22" s="13">
        <v>2</v>
      </c>
      <c r="AD22" s="13">
        <f t="shared" si="0"/>
        <v>8</v>
      </c>
      <c r="AE22" s="13">
        <v>3</v>
      </c>
      <c r="AG22" s="6">
        <v>21</v>
      </c>
      <c r="AH22" s="2" t="s">
        <v>126</v>
      </c>
      <c r="AI22" s="6">
        <v>3</v>
      </c>
      <c r="AJ22" s="6">
        <v>3</v>
      </c>
      <c r="AK22" s="6">
        <v>3</v>
      </c>
      <c r="AL22" s="6">
        <v>3</v>
      </c>
      <c r="AM22" s="6">
        <v>2</v>
      </c>
      <c r="AN22">
        <f t="shared" si="1"/>
        <v>8</v>
      </c>
      <c r="AP22" s="6">
        <v>21</v>
      </c>
      <c r="AQ22" s="2"/>
      <c r="AR22" s="2" t="s">
        <v>126</v>
      </c>
      <c r="AS22" s="6">
        <v>3</v>
      </c>
      <c r="AT22" s="6">
        <v>3</v>
      </c>
      <c r="AU22" s="6">
        <v>3</v>
      </c>
      <c r="AV22" s="6">
        <v>3</v>
      </c>
      <c r="AW22" s="6">
        <v>2</v>
      </c>
      <c r="AX22">
        <f t="shared" si="2"/>
        <v>8</v>
      </c>
    </row>
    <row r="23" spans="1:50" x14ac:dyDescent="0.25">
      <c r="A23" t="s">
        <v>87</v>
      </c>
      <c r="B23" t="s">
        <v>87</v>
      </c>
      <c r="E23" t="s">
        <v>86</v>
      </c>
      <c r="F23" s="33">
        <v>22</v>
      </c>
      <c r="G23" s="34" t="s">
        <v>110</v>
      </c>
      <c r="H23" s="34" t="s">
        <v>204</v>
      </c>
      <c r="I23" s="34" t="s">
        <v>205</v>
      </c>
      <c r="J23" s="35">
        <f>'Skoring BK'!$E$4</f>
        <v>0.33333333333333331</v>
      </c>
      <c r="K23" s="35">
        <f>'Skoring BK'!$F$4</f>
        <v>0.33333333333333331</v>
      </c>
      <c r="L23" s="35">
        <f>'Skoring BK'!$G$4</f>
        <v>0.33333333333333331</v>
      </c>
      <c r="N23" s="6">
        <v>22</v>
      </c>
      <c r="O23" s="6" t="s">
        <v>127</v>
      </c>
      <c r="P23" s="6">
        <v>3</v>
      </c>
      <c r="Q23" s="6">
        <v>3</v>
      </c>
      <c r="T23" s="6">
        <v>22</v>
      </c>
      <c r="U23" s="6" t="s">
        <v>127</v>
      </c>
      <c r="V23" s="6">
        <v>3</v>
      </c>
      <c r="Y23" s="13">
        <v>22</v>
      </c>
      <c r="Z23" s="13" t="s">
        <v>127</v>
      </c>
      <c r="AA23" s="13">
        <v>3</v>
      </c>
      <c r="AB23" s="13">
        <v>3</v>
      </c>
      <c r="AC23" s="13">
        <v>2</v>
      </c>
      <c r="AD23" s="13">
        <f t="shared" si="0"/>
        <v>8</v>
      </c>
      <c r="AE23" s="13">
        <v>3</v>
      </c>
      <c r="AG23" s="6">
        <v>22</v>
      </c>
      <c r="AH23" s="2" t="s">
        <v>127</v>
      </c>
      <c r="AI23" s="6">
        <v>3</v>
      </c>
      <c r="AJ23" s="6">
        <v>3</v>
      </c>
      <c r="AK23" s="6">
        <v>3</v>
      </c>
      <c r="AL23" s="6">
        <v>3</v>
      </c>
      <c r="AM23" s="6">
        <v>2</v>
      </c>
      <c r="AN23">
        <f t="shared" si="1"/>
        <v>8</v>
      </c>
      <c r="AP23" s="6">
        <v>22</v>
      </c>
      <c r="AQ23" s="2"/>
      <c r="AR23" s="2" t="s">
        <v>93</v>
      </c>
      <c r="AS23" s="6">
        <v>2</v>
      </c>
      <c r="AT23" s="6">
        <v>3</v>
      </c>
      <c r="AU23" s="6">
        <v>2</v>
      </c>
      <c r="AV23" s="6">
        <v>2</v>
      </c>
      <c r="AW23" s="6">
        <v>2</v>
      </c>
      <c r="AX23">
        <f>SUM(AU23:AW23)</f>
        <v>6</v>
      </c>
    </row>
    <row r="24" spans="1:50" x14ac:dyDescent="0.25">
      <c r="A24" t="s">
        <v>99</v>
      </c>
      <c r="B24" t="s">
        <v>99</v>
      </c>
      <c r="E24" t="s">
        <v>87</v>
      </c>
      <c r="F24" s="33">
        <v>23</v>
      </c>
      <c r="G24" s="34" t="s">
        <v>86</v>
      </c>
      <c r="H24" s="34" t="s">
        <v>20</v>
      </c>
      <c r="I24" s="34" t="s">
        <v>200</v>
      </c>
      <c r="J24" s="35">
        <f>'Skoring BK'!$E$7</f>
        <v>0.2857142857142857</v>
      </c>
      <c r="K24" s="35">
        <f>'Skoring BK'!$F$7</f>
        <v>0.42857142857142855</v>
      </c>
      <c r="L24" s="35">
        <f>'Skoring BK'!$G$7</f>
        <v>0.2857142857142857</v>
      </c>
      <c r="N24" s="6">
        <v>23</v>
      </c>
      <c r="O24" s="6" t="s">
        <v>83</v>
      </c>
      <c r="P24" s="6">
        <v>3</v>
      </c>
      <c r="Q24" s="6">
        <v>3</v>
      </c>
      <c r="T24" s="6">
        <v>23</v>
      </c>
      <c r="U24" s="6" t="s">
        <v>83</v>
      </c>
      <c r="V24" s="6">
        <v>3</v>
      </c>
      <c r="Y24" s="13">
        <v>23</v>
      </c>
      <c r="Z24" s="13" t="s">
        <v>83</v>
      </c>
      <c r="AA24" s="13">
        <v>2</v>
      </c>
      <c r="AB24" s="13">
        <v>2</v>
      </c>
      <c r="AC24" s="13">
        <v>2</v>
      </c>
      <c r="AD24" s="13">
        <f t="shared" si="0"/>
        <v>6</v>
      </c>
      <c r="AE24" s="13">
        <v>3</v>
      </c>
      <c r="AG24" s="6">
        <v>23</v>
      </c>
      <c r="AH24" s="2" t="s">
        <v>83</v>
      </c>
      <c r="AI24" s="6">
        <v>3</v>
      </c>
      <c r="AJ24" s="6">
        <v>3</v>
      </c>
      <c r="AK24" s="6">
        <v>2</v>
      </c>
      <c r="AL24" s="6">
        <v>2</v>
      </c>
      <c r="AM24" s="6">
        <v>2</v>
      </c>
      <c r="AN24">
        <f t="shared" si="1"/>
        <v>6</v>
      </c>
      <c r="AP24" s="6">
        <v>23</v>
      </c>
      <c r="AQ24" s="2"/>
      <c r="AR24" s="2" t="s">
        <v>233</v>
      </c>
      <c r="AS24" s="6">
        <v>3</v>
      </c>
      <c r="AT24" s="6">
        <v>3</v>
      </c>
      <c r="AU24" s="6">
        <v>2</v>
      </c>
      <c r="AV24" s="6">
        <v>2</v>
      </c>
      <c r="AW24" s="6">
        <v>2</v>
      </c>
      <c r="AX24">
        <f t="shared" si="2"/>
        <v>6</v>
      </c>
    </row>
    <row r="25" spans="1:50" x14ac:dyDescent="0.25">
      <c r="A25" t="s">
        <v>95</v>
      </c>
      <c r="B25" t="s">
        <v>95</v>
      </c>
      <c r="E25" t="s">
        <v>99</v>
      </c>
      <c r="F25" s="33">
        <v>24</v>
      </c>
      <c r="G25" s="34" t="s">
        <v>83</v>
      </c>
      <c r="H25" s="34" t="s">
        <v>20</v>
      </c>
      <c r="I25" s="34" t="s">
        <v>203</v>
      </c>
      <c r="J25" s="35">
        <f>'Skoring BK'!$E$7</f>
        <v>0.2857142857142857</v>
      </c>
      <c r="K25" s="35">
        <f>'Skoring BK'!$F$7</f>
        <v>0.42857142857142855</v>
      </c>
      <c r="L25" s="35">
        <f>'Skoring BK'!$G$7</f>
        <v>0.2857142857142857</v>
      </c>
      <c r="N25" s="6">
        <v>24</v>
      </c>
      <c r="O25" s="6" t="s">
        <v>77</v>
      </c>
      <c r="P25" s="6">
        <v>2</v>
      </c>
      <c r="Q25" s="6">
        <v>3</v>
      </c>
      <c r="T25" s="6">
        <v>24</v>
      </c>
      <c r="U25" s="6" t="s">
        <v>77</v>
      </c>
      <c r="V25" s="6">
        <v>3</v>
      </c>
      <c r="Y25" s="13">
        <v>24</v>
      </c>
      <c r="Z25" s="13" t="s">
        <v>77</v>
      </c>
      <c r="AA25" s="13">
        <v>2</v>
      </c>
      <c r="AB25" s="13">
        <v>1</v>
      </c>
      <c r="AC25" s="13">
        <v>2</v>
      </c>
      <c r="AD25" s="13">
        <f t="shared" si="0"/>
        <v>5</v>
      </c>
      <c r="AE25" s="13">
        <v>2</v>
      </c>
      <c r="AG25" s="6">
        <v>24</v>
      </c>
      <c r="AH25" s="2" t="s">
        <v>77</v>
      </c>
      <c r="AI25" s="6">
        <v>2</v>
      </c>
      <c r="AJ25" s="6">
        <v>3</v>
      </c>
      <c r="AK25" s="6">
        <v>2</v>
      </c>
      <c r="AL25" s="6">
        <v>1</v>
      </c>
      <c r="AM25" s="6">
        <v>2</v>
      </c>
      <c r="AN25">
        <f t="shared" si="1"/>
        <v>5</v>
      </c>
      <c r="AP25" s="6">
        <v>24</v>
      </c>
      <c r="AQ25" s="2"/>
      <c r="AR25" s="2" t="s">
        <v>235</v>
      </c>
      <c r="AS25" s="6">
        <v>3</v>
      </c>
      <c r="AT25" s="6">
        <v>3</v>
      </c>
      <c r="AU25" s="6">
        <v>2</v>
      </c>
      <c r="AV25" s="6">
        <v>1</v>
      </c>
      <c r="AW25" s="6">
        <v>2</v>
      </c>
      <c r="AX25">
        <f t="shared" si="2"/>
        <v>5</v>
      </c>
    </row>
    <row r="26" spans="1:50" x14ac:dyDescent="0.25">
      <c r="A26" t="s">
        <v>90</v>
      </c>
      <c r="B26" t="s">
        <v>90</v>
      </c>
      <c r="E26" t="s">
        <v>95</v>
      </c>
      <c r="F26" s="33">
        <v>25</v>
      </c>
      <c r="G26" s="34" t="s">
        <v>139</v>
      </c>
      <c r="H26" s="34" t="s">
        <v>20</v>
      </c>
      <c r="I26" s="34" t="s">
        <v>200</v>
      </c>
      <c r="J26" s="35">
        <f>'Skoring BK'!$E$7</f>
        <v>0.2857142857142857</v>
      </c>
      <c r="K26" s="35">
        <f>'Skoring BK'!$F$7</f>
        <v>0.42857142857142855</v>
      </c>
      <c r="L26" s="35">
        <f>'Skoring BK'!$G$7</f>
        <v>0.2857142857142857</v>
      </c>
      <c r="N26" s="6">
        <v>25</v>
      </c>
      <c r="O26" s="6" t="s">
        <v>164</v>
      </c>
      <c r="P26" s="6">
        <v>2</v>
      </c>
      <c r="Q26" s="6">
        <v>3</v>
      </c>
      <c r="T26" s="6">
        <v>25</v>
      </c>
      <c r="U26" s="6" t="s">
        <v>164</v>
      </c>
      <c r="V26" s="6">
        <v>3</v>
      </c>
      <c r="Y26" s="13">
        <v>25</v>
      </c>
      <c r="Z26" s="13" t="s">
        <v>164</v>
      </c>
      <c r="AA26" s="13">
        <v>2</v>
      </c>
      <c r="AB26" s="13">
        <v>1</v>
      </c>
      <c r="AC26" s="13">
        <v>2</v>
      </c>
      <c r="AD26" s="13">
        <f t="shared" si="0"/>
        <v>5</v>
      </c>
      <c r="AE26" s="13">
        <v>2</v>
      </c>
      <c r="AG26" s="6">
        <v>25</v>
      </c>
      <c r="AH26" s="2" t="s">
        <v>164</v>
      </c>
      <c r="AI26" s="6">
        <v>2</v>
      </c>
      <c r="AJ26" s="6">
        <v>3</v>
      </c>
      <c r="AK26" s="6">
        <v>2</v>
      </c>
      <c r="AL26" s="6">
        <v>1</v>
      </c>
      <c r="AM26" s="6">
        <v>2</v>
      </c>
      <c r="AN26">
        <f t="shared" si="1"/>
        <v>5</v>
      </c>
      <c r="AP26" s="6">
        <v>25</v>
      </c>
      <c r="AQ26" s="2"/>
      <c r="AR26" s="2" t="s">
        <v>164</v>
      </c>
      <c r="AS26" s="6">
        <v>2</v>
      </c>
      <c r="AT26" s="6">
        <v>3</v>
      </c>
      <c r="AU26" s="6">
        <v>2</v>
      </c>
      <c r="AV26" s="6">
        <v>1</v>
      </c>
      <c r="AW26" s="6">
        <v>2</v>
      </c>
      <c r="AX26">
        <f t="shared" si="2"/>
        <v>5</v>
      </c>
    </row>
    <row r="27" spans="1:50" x14ac:dyDescent="0.25">
      <c r="A27" t="s">
        <v>81</v>
      </c>
      <c r="B27" t="s">
        <v>81</v>
      </c>
      <c r="E27" t="s">
        <v>90</v>
      </c>
      <c r="F27" s="33">
        <v>26</v>
      </c>
      <c r="G27" s="34" t="s">
        <v>98</v>
      </c>
      <c r="H27" s="34" t="s">
        <v>20</v>
      </c>
      <c r="I27" s="34" t="s">
        <v>200</v>
      </c>
      <c r="J27" s="35">
        <f>'Skoring BK'!$E$7</f>
        <v>0.2857142857142857</v>
      </c>
      <c r="K27" s="35">
        <f>'Skoring BK'!$F$7</f>
        <v>0.42857142857142855</v>
      </c>
      <c r="L27" s="35">
        <f>'Skoring BK'!$G$7</f>
        <v>0.2857142857142857</v>
      </c>
      <c r="N27" s="6">
        <v>26</v>
      </c>
      <c r="O27" s="6" t="s">
        <v>110</v>
      </c>
      <c r="P27" s="6">
        <v>1</v>
      </c>
      <c r="Q27" s="6">
        <v>3</v>
      </c>
      <c r="T27" s="6">
        <v>26</v>
      </c>
      <c r="U27" s="6" t="s">
        <v>110</v>
      </c>
      <c r="V27" s="6">
        <v>3</v>
      </c>
      <c r="Y27" s="13">
        <v>26</v>
      </c>
      <c r="Z27" s="13" t="s">
        <v>110</v>
      </c>
      <c r="AA27" s="13">
        <v>1</v>
      </c>
      <c r="AB27" s="13">
        <v>3</v>
      </c>
      <c r="AC27" s="13">
        <v>1</v>
      </c>
      <c r="AD27" s="13">
        <f t="shared" si="0"/>
        <v>5</v>
      </c>
      <c r="AE27" s="13">
        <v>2</v>
      </c>
      <c r="AG27" s="6">
        <v>26</v>
      </c>
      <c r="AH27" s="2" t="s">
        <v>110</v>
      </c>
      <c r="AI27" s="6">
        <v>1</v>
      </c>
      <c r="AJ27" s="6">
        <v>3</v>
      </c>
      <c r="AK27" s="6">
        <v>1</v>
      </c>
      <c r="AL27" s="6">
        <v>3</v>
      </c>
      <c r="AM27" s="6">
        <v>1</v>
      </c>
      <c r="AN27">
        <f t="shared" si="1"/>
        <v>5</v>
      </c>
      <c r="AP27" s="6">
        <v>26</v>
      </c>
      <c r="AQ27" s="2"/>
      <c r="AR27" s="2"/>
      <c r="AS27" s="6"/>
      <c r="AT27" s="6"/>
      <c r="AU27" s="6"/>
      <c r="AV27" s="6"/>
      <c r="AW27" s="6"/>
    </row>
    <row r="28" spans="1:50" x14ac:dyDescent="0.25">
      <c r="A28" t="s">
        <v>143</v>
      </c>
      <c r="B28" t="s">
        <v>143</v>
      </c>
      <c r="E28" t="s">
        <v>81</v>
      </c>
      <c r="F28" s="33">
        <v>27</v>
      </c>
      <c r="G28" s="34" t="s">
        <v>88</v>
      </c>
      <c r="H28" s="34" t="s">
        <v>20</v>
      </c>
      <c r="I28" s="34" t="s">
        <v>200</v>
      </c>
      <c r="J28" s="35">
        <f>'Skoring BK'!$E$7</f>
        <v>0.2857142857142857</v>
      </c>
      <c r="K28" s="35">
        <f>'Skoring BK'!$F$7</f>
        <v>0.42857142857142855</v>
      </c>
      <c r="L28" s="35">
        <f>'Skoring BK'!$G$7</f>
        <v>0.2857142857142857</v>
      </c>
      <c r="N28" s="6">
        <v>27</v>
      </c>
      <c r="O28" s="6" t="s">
        <v>123</v>
      </c>
      <c r="P28" s="6">
        <v>3</v>
      </c>
      <c r="Q28" s="6">
        <v>4</v>
      </c>
      <c r="T28" s="6">
        <v>27</v>
      </c>
      <c r="U28" s="6" t="s">
        <v>123</v>
      </c>
      <c r="V28" s="6">
        <v>4</v>
      </c>
      <c r="Y28" s="13">
        <v>27</v>
      </c>
      <c r="Z28" s="13" t="s">
        <v>123</v>
      </c>
      <c r="AA28" s="13">
        <v>3</v>
      </c>
      <c r="AB28" s="13">
        <v>2</v>
      </c>
      <c r="AC28" s="13">
        <v>2</v>
      </c>
      <c r="AD28" s="13">
        <f t="shared" si="0"/>
        <v>7</v>
      </c>
      <c r="AE28" s="13">
        <v>3</v>
      </c>
      <c r="AG28" s="6">
        <v>27</v>
      </c>
      <c r="AH28" s="2" t="s">
        <v>123</v>
      </c>
      <c r="AI28" s="6">
        <v>3</v>
      </c>
      <c r="AJ28" s="6">
        <v>4</v>
      </c>
      <c r="AK28" s="6">
        <v>3</v>
      </c>
      <c r="AL28" s="6">
        <v>2</v>
      </c>
      <c r="AM28" s="6">
        <v>2</v>
      </c>
      <c r="AN28">
        <f t="shared" si="1"/>
        <v>7</v>
      </c>
      <c r="AP28" s="6">
        <v>27</v>
      </c>
      <c r="AQ28" s="2"/>
      <c r="AR28" s="2" t="s">
        <v>123</v>
      </c>
      <c r="AS28" s="6">
        <v>3</v>
      </c>
      <c r="AT28" s="6">
        <v>4</v>
      </c>
      <c r="AU28" s="6">
        <v>3</v>
      </c>
      <c r="AV28" s="6">
        <v>2</v>
      </c>
      <c r="AW28" s="6">
        <v>2</v>
      </c>
      <c r="AX28">
        <f t="shared" si="2"/>
        <v>7</v>
      </c>
    </row>
    <row r="29" spans="1:50" x14ac:dyDescent="0.25">
      <c r="A29" t="s">
        <v>115</v>
      </c>
      <c r="B29" t="s">
        <v>115</v>
      </c>
      <c r="E29" t="s">
        <v>143</v>
      </c>
      <c r="F29" s="33">
        <v>28</v>
      </c>
      <c r="G29" s="34" t="s">
        <v>87</v>
      </c>
      <c r="H29" s="34" t="s">
        <v>34</v>
      </c>
      <c r="I29" s="34" t="s">
        <v>200</v>
      </c>
      <c r="J29" s="35">
        <f>'Skoring BK'!$E$6</f>
        <v>0.33333333333333331</v>
      </c>
      <c r="K29" s="35">
        <f>'Skoring BK'!$F$6</f>
        <v>0.33333333333333331</v>
      </c>
      <c r="L29" s="35">
        <f>'Skoring BK'!$G$6</f>
        <v>0.33333333333333331</v>
      </c>
      <c r="N29" s="6">
        <v>28</v>
      </c>
      <c r="O29" s="6" t="s">
        <v>124</v>
      </c>
      <c r="P29" s="6">
        <v>3</v>
      </c>
      <c r="Q29" s="6">
        <v>4</v>
      </c>
      <c r="T29" s="6">
        <v>28</v>
      </c>
      <c r="U29" s="6" t="s">
        <v>124</v>
      </c>
      <c r="V29" s="6">
        <v>4</v>
      </c>
      <c r="Y29" s="13">
        <v>28</v>
      </c>
      <c r="Z29" s="13" t="s">
        <v>124</v>
      </c>
      <c r="AA29" s="13">
        <v>3</v>
      </c>
      <c r="AB29" s="13">
        <v>2</v>
      </c>
      <c r="AC29" s="13">
        <v>2</v>
      </c>
      <c r="AD29" s="13">
        <f t="shared" si="0"/>
        <v>7</v>
      </c>
      <c r="AE29" s="13">
        <v>3</v>
      </c>
      <c r="AG29" s="6">
        <v>28</v>
      </c>
      <c r="AH29" s="2" t="s">
        <v>124</v>
      </c>
      <c r="AI29" s="6">
        <v>3</v>
      </c>
      <c r="AJ29" s="6">
        <v>4</v>
      </c>
      <c r="AK29" s="6">
        <v>3</v>
      </c>
      <c r="AL29" s="6">
        <v>2</v>
      </c>
      <c r="AM29" s="6">
        <v>2</v>
      </c>
      <c r="AN29">
        <f t="shared" si="1"/>
        <v>7</v>
      </c>
      <c r="AP29" s="6">
        <v>28</v>
      </c>
      <c r="AQ29" s="2"/>
      <c r="AR29" s="2" t="s">
        <v>124</v>
      </c>
      <c r="AS29" s="6">
        <v>3</v>
      </c>
      <c r="AT29" s="6">
        <v>4</v>
      </c>
      <c r="AU29" s="6">
        <v>3</v>
      </c>
      <c r="AV29" s="6">
        <v>2</v>
      </c>
      <c r="AW29" s="6">
        <v>2</v>
      </c>
      <c r="AX29">
        <f t="shared" si="2"/>
        <v>7</v>
      </c>
    </row>
    <row r="30" spans="1:50" x14ac:dyDescent="0.25">
      <c r="A30" t="s">
        <v>85</v>
      </c>
      <c r="B30" t="s">
        <v>85</v>
      </c>
      <c r="E30" t="s">
        <v>115</v>
      </c>
      <c r="F30" s="33">
        <v>29</v>
      </c>
      <c r="G30" s="34" t="s">
        <v>100</v>
      </c>
      <c r="H30" s="34" t="s">
        <v>54</v>
      </c>
      <c r="I30" s="34" t="s">
        <v>206</v>
      </c>
      <c r="J30" s="35">
        <f>'Skoring BK'!$E$8</f>
        <v>0.33333333333333331</v>
      </c>
      <c r="K30" s="35">
        <f>'Skoring BK'!$F$8</f>
        <v>0.16666666666666666</v>
      </c>
      <c r="L30" s="35">
        <f>'Skoring BK'!$G$8</f>
        <v>0.5</v>
      </c>
      <c r="N30" s="6">
        <v>29</v>
      </c>
      <c r="O30" s="6" t="s">
        <v>128</v>
      </c>
      <c r="P30" s="6">
        <v>3</v>
      </c>
      <c r="Q30" s="6">
        <v>4</v>
      </c>
      <c r="T30" s="6">
        <v>29</v>
      </c>
      <c r="U30" s="6" t="s">
        <v>128</v>
      </c>
      <c r="V30" s="6">
        <v>4</v>
      </c>
      <c r="Y30" s="13">
        <v>29</v>
      </c>
      <c r="Z30" s="13" t="s">
        <v>128</v>
      </c>
      <c r="AA30" s="13">
        <v>3</v>
      </c>
      <c r="AB30" s="13">
        <v>3</v>
      </c>
      <c r="AC30" s="13">
        <v>3</v>
      </c>
      <c r="AD30" s="13">
        <f t="shared" si="0"/>
        <v>9</v>
      </c>
      <c r="AE30" s="13">
        <v>3</v>
      </c>
      <c r="AG30" s="6">
        <v>29</v>
      </c>
      <c r="AH30" s="2" t="s">
        <v>128</v>
      </c>
      <c r="AI30" s="6">
        <v>3</v>
      </c>
      <c r="AJ30" s="6">
        <v>4</v>
      </c>
      <c r="AK30" s="6">
        <v>3</v>
      </c>
      <c r="AL30" s="6">
        <v>3</v>
      </c>
      <c r="AM30" s="6">
        <v>3</v>
      </c>
      <c r="AN30">
        <f t="shared" si="1"/>
        <v>9</v>
      </c>
      <c r="AP30" s="6">
        <v>29</v>
      </c>
      <c r="AQ30" s="2"/>
      <c r="AR30" s="2" t="s">
        <v>128</v>
      </c>
      <c r="AS30" s="6">
        <v>3</v>
      </c>
      <c r="AT30" s="6">
        <v>4</v>
      </c>
      <c r="AU30" s="6">
        <v>3</v>
      </c>
      <c r="AV30" s="6">
        <v>3</v>
      </c>
      <c r="AW30" s="6">
        <v>3</v>
      </c>
      <c r="AX30">
        <f t="shared" si="2"/>
        <v>9</v>
      </c>
    </row>
    <row r="31" spans="1:50" x14ac:dyDescent="0.25">
      <c r="A31" t="s">
        <v>105</v>
      </c>
      <c r="B31" t="s">
        <v>105</v>
      </c>
      <c r="E31" t="s">
        <v>85</v>
      </c>
      <c r="F31" s="33">
        <v>30</v>
      </c>
      <c r="G31" s="34" t="s">
        <v>101</v>
      </c>
      <c r="H31" s="34" t="s">
        <v>54</v>
      </c>
      <c r="I31" s="34" t="s">
        <v>207</v>
      </c>
      <c r="J31" s="35">
        <f>'Skoring BK'!$E$8</f>
        <v>0.33333333333333331</v>
      </c>
      <c r="K31" s="35">
        <f>'Skoring BK'!$F$8</f>
        <v>0.16666666666666666</v>
      </c>
      <c r="L31" s="35">
        <f>'Skoring BK'!$G$8</f>
        <v>0.5</v>
      </c>
      <c r="N31" s="6">
        <v>30</v>
      </c>
      <c r="O31" s="6" t="s">
        <v>86</v>
      </c>
      <c r="P31" s="6">
        <v>3</v>
      </c>
      <c r="Q31" s="6">
        <v>4</v>
      </c>
      <c r="T31" s="6">
        <v>30</v>
      </c>
      <c r="U31" s="6" t="s">
        <v>86</v>
      </c>
      <c r="V31" s="6">
        <v>4</v>
      </c>
      <c r="Y31" s="13">
        <v>30</v>
      </c>
      <c r="Z31" s="13" t="s">
        <v>86</v>
      </c>
      <c r="AA31" s="13">
        <v>2</v>
      </c>
      <c r="AB31" s="13">
        <v>2</v>
      </c>
      <c r="AC31" s="13">
        <v>2</v>
      </c>
      <c r="AD31" s="13">
        <f t="shared" si="0"/>
        <v>6</v>
      </c>
      <c r="AE31" s="13">
        <v>3</v>
      </c>
      <c r="AG31" s="6">
        <v>30</v>
      </c>
      <c r="AH31" s="2" t="s">
        <v>86</v>
      </c>
      <c r="AI31" s="6">
        <v>3</v>
      </c>
      <c r="AJ31" s="6">
        <v>4</v>
      </c>
      <c r="AK31" s="6">
        <v>2</v>
      </c>
      <c r="AL31" s="6">
        <v>2</v>
      </c>
      <c r="AM31" s="6">
        <v>2</v>
      </c>
      <c r="AN31">
        <f t="shared" si="1"/>
        <v>6</v>
      </c>
      <c r="AP31" s="6">
        <v>30</v>
      </c>
      <c r="AQ31" s="2"/>
      <c r="AR31" s="2" t="s">
        <v>86</v>
      </c>
      <c r="AS31" s="6">
        <v>3</v>
      </c>
      <c r="AT31" s="6">
        <v>4</v>
      </c>
      <c r="AU31" s="6">
        <v>2</v>
      </c>
      <c r="AV31" s="6">
        <v>2</v>
      </c>
      <c r="AW31" s="6">
        <v>2</v>
      </c>
      <c r="AX31">
        <f t="shared" si="2"/>
        <v>6</v>
      </c>
    </row>
    <row r="32" spans="1:50" x14ac:dyDescent="0.25">
      <c r="A32" t="s">
        <v>135</v>
      </c>
      <c r="B32" t="s">
        <v>194</v>
      </c>
      <c r="E32" t="s">
        <v>105</v>
      </c>
      <c r="F32" s="33">
        <v>31</v>
      </c>
      <c r="G32" s="34" t="s">
        <v>85</v>
      </c>
      <c r="H32" s="34" t="s">
        <v>54</v>
      </c>
      <c r="I32" s="34" t="s">
        <v>200</v>
      </c>
      <c r="J32" s="35">
        <f>'Skoring BK'!$E$8</f>
        <v>0.33333333333333331</v>
      </c>
      <c r="K32" s="35">
        <f>'Skoring BK'!$F$8</f>
        <v>0.16666666666666666</v>
      </c>
      <c r="L32" s="35">
        <f>'Skoring BK'!$G$8</f>
        <v>0.5</v>
      </c>
      <c r="N32" s="6">
        <v>31</v>
      </c>
      <c r="O32" s="6" t="s">
        <v>87</v>
      </c>
      <c r="P32" s="6">
        <v>3</v>
      </c>
      <c r="Q32" s="6">
        <v>4</v>
      </c>
      <c r="T32" s="6">
        <v>31</v>
      </c>
      <c r="U32" s="6" t="s">
        <v>87</v>
      </c>
      <c r="V32" s="6">
        <v>4</v>
      </c>
      <c r="Y32" s="13">
        <v>31</v>
      </c>
      <c r="Z32" s="13" t="s">
        <v>87</v>
      </c>
      <c r="AA32" s="13">
        <v>2</v>
      </c>
      <c r="AB32" s="13">
        <v>2</v>
      </c>
      <c r="AC32" s="13">
        <v>2</v>
      </c>
      <c r="AD32" s="13">
        <f t="shared" si="0"/>
        <v>6</v>
      </c>
      <c r="AE32" s="13">
        <v>3</v>
      </c>
      <c r="AG32" s="6">
        <v>31</v>
      </c>
      <c r="AH32" s="2" t="s">
        <v>87</v>
      </c>
      <c r="AI32" s="6">
        <v>3</v>
      </c>
      <c r="AJ32" s="6">
        <v>4</v>
      </c>
      <c r="AK32" s="6">
        <v>2</v>
      </c>
      <c r="AL32" s="6">
        <v>2</v>
      </c>
      <c r="AM32" s="6">
        <v>2</v>
      </c>
      <c r="AN32">
        <f t="shared" si="1"/>
        <v>6</v>
      </c>
      <c r="AP32" s="6">
        <v>31</v>
      </c>
      <c r="AQ32" s="2"/>
      <c r="AR32" s="2" t="s">
        <v>232</v>
      </c>
      <c r="AS32" s="6">
        <v>3</v>
      </c>
      <c r="AT32" s="6">
        <v>4</v>
      </c>
      <c r="AU32" s="6">
        <v>2</v>
      </c>
      <c r="AV32" s="6">
        <v>2</v>
      </c>
      <c r="AW32" s="6">
        <v>2</v>
      </c>
      <c r="AX32">
        <f t="shared" si="2"/>
        <v>6</v>
      </c>
    </row>
    <row r="33" spans="1:50" x14ac:dyDescent="0.25">
      <c r="A33" t="s">
        <v>134</v>
      </c>
      <c r="B33" t="s">
        <v>192</v>
      </c>
      <c r="E33" t="s">
        <v>108</v>
      </c>
      <c r="F33" s="33">
        <v>32</v>
      </c>
      <c r="G33" s="34" t="s">
        <v>127</v>
      </c>
      <c r="H33" s="34" t="s">
        <v>204</v>
      </c>
      <c r="I33" s="34" t="s">
        <v>203</v>
      </c>
      <c r="J33" s="35">
        <f>'Skoring BK'!$E$4</f>
        <v>0.33333333333333331</v>
      </c>
      <c r="K33" s="35">
        <f>'Skoring BK'!$F$4</f>
        <v>0.33333333333333331</v>
      </c>
      <c r="L33" s="35">
        <f>'Skoring BK'!$G$4</f>
        <v>0.33333333333333331</v>
      </c>
      <c r="N33" s="6">
        <v>32</v>
      </c>
      <c r="O33" s="6" t="s">
        <v>211</v>
      </c>
      <c r="P33" s="6">
        <v>2</v>
      </c>
      <c r="Q33" s="6">
        <v>4</v>
      </c>
      <c r="T33" s="6">
        <v>32</v>
      </c>
      <c r="U33" s="6" t="s">
        <v>211</v>
      </c>
      <c r="V33" s="6">
        <v>4</v>
      </c>
      <c r="Y33" s="13">
        <v>32</v>
      </c>
      <c r="Z33" s="13" t="s">
        <v>211</v>
      </c>
      <c r="AA33" s="13">
        <v>2</v>
      </c>
      <c r="AB33" s="13">
        <v>1</v>
      </c>
      <c r="AC33" s="13">
        <v>2</v>
      </c>
      <c r="AD33" s="13">
        <f t="shared" si="0"/>
        <v>5</v>
      </c>
      <c r="AE33" s="13">
        <v>2</v>
      </c>
      <c r="AG33" s="6">
        <v>32</v>
      </c>
      <c r="AH33" s="2" t="s">
        <v>211</v>
      </c>
      <c r="AI33" s="6">
        <v>1</v>
      </c>
      <c r="AJ33" s="6">
        <v>4</v>
      </c>
      <c r="AK33" s="6">
        <v>2</v>
      </c>
      <c r="AL33" s="6">
        <v>1</v>
      </c>
      <c r="AM33" s="6">
        <v>2</v>
      </c>
      <c r="AN33">
        <f t="shared" si="1"/>
        <v>5</v>
      </c>
      <c r="AP33" s="6">
        <v>32</v>
      </c>
      <c r="AQ33" s="2"/>
      <c r="AR33" s="2" t="s">
        <v>211</v>
      </c>
      <c r="AS33" s="6">
        <v>1</v>
      </c>
      <c r="AT33" s="6">
        <v>4</v>
      </c>
      <c r="AU33" s="6">
        <v>2</v>
      </c>
      <c r="AV33" s="6">
        <v>1</v>
      </c>
      <c r="AW33" s="6">
        <v>2</v>
      </c>
      <c r="AX33">
        <f t="shared" si="2"/>
        <v>5</v>
      </c>
    </row>
    <row r="34" spans="1:50" x14ac:dyDescent="0.25">
      <c r="A34" t="s">
        <v>158</v>
      </c>
      <c r="B34" t="s">
        <v>158</v>
      </c>
      <c r="E34" t="s">
        <v>158</v>
      </c>
      <c r="F34" s="33">
        <v>33</v>
      </c>
      <c r="G34" s="34" t="s">
        <v>89</v>
      </c>
      <c r="H34" s="34" t="s">
        <v>32</v>
      </c>
      <c r="I34" s="34" t="s">
        <v>200</v>
      </c>
      <c r="J34" s="35">
        <f>'Skoring BK'!$E$5</f>
        <v>0.5</v>
      </c>
      <c r="K34" s="35">
        <f>'Skoring BK'!$F$5</f>
        <v>0.33333333333333331</v>
      </c>
      <c r="L34" s="35">
        <f>'Skoring BK'!$G$5</f>
        <v>0.16666666666666666</v>
      </c>
      <c r="N34" s="6">
        <v>33</v>
      </c>
      <c r="O34" s="6" t="s">
        <v>82</v>
      </c>
      <c r="P34" s="6">
        <v>3</v>
      </c>
      <c r="Q34" s="6">
        <v>4</v>
      </c>
      <c r="T34" s="6">
        <v>33</v>
      </c>
      <c r="U34" s="6" t="s">
        <v>82</v>
      </c>
      <c r="V34" s="6">
        <v>4</v>
      </c>
      <c r="Y34" s="13">
        <v>33</v>
      </c>
      <c r="Z34" s="13" t="s">
        <v>82</v>
      </c>
      <c r="AA34" s="13">
        <v>2</v>
      </c>
      <c r="AB34" s="13">
        <v>3</v>
      </c>
      <c r="AC34" s="13">
        <v>2</v>
      </c>
      <c r="AD34" s="13">
        <f t="shared" si="0"/>
        <v>7</v>
      </c>
      <c r="AE34" s="13">
        <v>3</v>
      </c>
      <c r="AG34" s="6">
        <v>33</v>
      </c>
      <c r="AH34" s="2" t="s">
        <v>82</v>
      </c>
      <c r="AI34" s="6">
        <v>3</v>
      </c>
      <c r="AJ34" s="6">
        <v>4</v>
      </c>
      <c r="AK34" s="6">
        <v>2</v>
      </c>
      <c r="AL34" s="6">
        <v>3</v>
      </c>
      <c r="AM34" s="6">
        <v>2</v>
      </c>
      <c r="AN34">
        <f t="shared" si="1"/>
        <v>7</v>
      </c>
      <c r="AP34" s="6">
        <v>33</v>
      </c>
      <c r="AQ34" s="2"/>
      <c r="AR34" s="2" t="s">
        <v>82</v>
      </c>
      <c r="AS34" s="6">
        <v>3</v>
      </c>
      <c r="AT34" s="6">
        <v>4</v>
      </c>
      <c r="AU34" s="6">
        <v>2</v>
      </c>
      <c r="AV34" s="6">
        <v>3</v>
      </c>
      <c r="AW34" s="6">
        <v>2</v>
      </c>
      <c r="AX34">
        <f t="shared" si="2"/>
        <v>7</v>
      </c>
    </row>
    <row r="35" spans="1:50" x14ac:dyDescent="0.25">
      <c r="A35" t="s">
        <v>153</v>
      </c>
      <c r="B35" t="s">
        <v>110</v>
      </c>
      <c r="E35" t="s">
        <v>110</v>
      </c>
      <c r="F35" s="33">
        <v>34</v>
      </c>
      <c r="G35" s="34" t="s">
        <v>95</v>
      </c>
      <c r="H35" s="34" t="s">
        <v>32</v>
      </c>
      <c r="I35" s="34" t="s">
        <v>200</v>
      </c>
      <c r="J35" s="35">
        <f>'Skoring BK'!$E$5</f>
        <v>0.5</v>
      </c>
      <c r="K35" s="35">
        <f>'Skoring BK'!$F$5</f>
        <v>0.33333333333333331</v>
      </c>
      <c r="L35" s="35">
        <f>'Skoring BK'!$G$5</f>
        <v>0.16666666666666666</v>
      </c>
      <c r="N35" s="6">
        <v>34</v>
      </c>
      <c r="O35" s="6" t="s">
        <v>129</v>
      </c>
      <c r="P35" s="6">
        <v>3</v>
      </c>
      <c r="Q35" s="6">
        <v>5</v>
      </c>
      <c r="T35" s="6">
        <v>34</v>
      </c>
      <c r="U35" s="6" t="s">
        <v>129</v>
      </c>
      <c r="V35" s="6">
        <v>5</v>
      </c>
      <c r="Y35" s="13">
        <v>34</v>
      </c>
      <c r="Z35" s="13" t="s">
        <v>129</v>
      </c>
      <c r="AA35" s="13">
        <v>3</v>
      </c>
      <c r="AB35" s="13">
        <v>3</v>
      </c>
      <c r="AC35" s="13">
        <v>3</v>
      </c>
      <c r="AD35" s="13">
        <f t="shared" si="0"/>
        <v>9</v>
      </c>
      <c r="AE35" s="13">
        <v>3</v>
      </c>
      <c r="AG35" s="6">
        <v>34</v>
      </c>
      <c r="AH35" s="2" t="s">
        <v>129</v>
      </c>
      <c r="AI35" s="6">
        <v>3</v>
      </c>
      <c r="AJ35" s="6">
        <v>5</v>
      </c>
      <c r="AK35" s="6">
        <v>3</v>
      </c>
      <c r="AL35" s="6">
        <v>3</v>
      </c>
      <c r="AM35" s="6">
        <v>3</v>
      </c>
      <c r="AN35">
        <f t="shared" si="1"/>
        <v>9</v>
      </c>
      <c r="AP35" s="6">
        <v>34</v>
      </c>
      <c r="AQ35" s="2"/>
      <c r="AR35" s="2" t="s">
        <v>129</v>
      </c>
      <c r="AS35" s="6">
        <v>3</v>
      </c>
      <c r="AT35" s="6">
        <v>5</v>
      </c>
      <c r="AU35" s="6">
        <v>3</v>
      </c>
      <c r="AV35" s="6">
        <v>3</v>
      </c>
      <c r="AW35" s="6">
        <v>3</v>
      </c>
      <c r="AX35">
        <f t="shared" si="2"/>
        <v>9</v>
      </c>
    </row>
    <row r="36" spans="1:50" x14ac:dyDescent="0.25">
      <c r="A36" t="s">
        <v>92</v>
      </c>
      <c r="B36" t="s">
        <v>92</v>
      </c>
      <c r="E36" t="s">
        <v>107</v>
      </c>
      <c r="F36" s="33">
        <v>35</v>
      </c>
      <c r="G36" s="34" t="s">
        <v>123</v>
      </c>
      <c r="H36" s="34" t="s">
        <v>32</v>
      </c>
      <c r="I36" s="34" t="s">
        <v>208</v>
      </c>
      <c r="J36" s="35">
        <f>'Skoring BK'!$E$5</f>
        <v>0.5</v>
      </c>
      <c r="K36" s="35">
        <f>'Skoring BK'!$F$5</f>
        <v>0.33333333333333331</v>
      </c>
      <c r="L36" s="35">
        <f>'Skoring BK'!$G$5</f>
        <v>0.16666666666666666</v>
      </c>
      <c r="N36" s="6">
        <v>35</v>
      </c>
      <c r="O36" s="6" t="s">
        <v>80</v>
      </c>
      <c r="P36" s="6">
        <v>3</v>
      </c>
      <c r="Q36" s="6">
        <v>5</v>
      </c>
      <c r="T36" s="6">
        <v>35</v>
      </c>
      <c r="U36" s="6" t="s">
        <v>80</v>
      </c>
      <c r="V36" s="6">
        <v>5</v>
      </c>
      <c r="Y36" s="13">
        <v>35</v>
      </c>
      <c r="Z36" s="13" t="s">
        <v>80</v>
      </c>
      <c r="AA36" s="13">
        <v>2</v>
      </c>
      <c r="AB36" s="13">
        <v>3</v>
      </c>
      <c r="AC36" s="13">
        <v>3</v>
      </c>
      <c r="AD36" s="13">
        <f t="shared" si="0"/>
        <v>8</v>
      </c>
      <c r="AE36" s="13">
        <v>3</v>
      </c>
      <c r="AG36" s="6">
        <v>35</v>
      </c>
      <c r="AH36" s="2" t="s">
        <v>80</v>
      </c>
      <c r="AI36" s="6">
        <v>3</v>
      </c>
      <c r="AJ36" s="6">
        <v>5</v>
      </c>
      <c r="AK36" s="6">
        <v>2</v>
      </c>
      <c r="AL36" s="6">
        <v>3</v>
      </c>
      <c r="AM36" s="6">
        <v>3</v>
      </c>
      <c r="AN36">
        <f t="shared" si="1"/>
        <v>8</v>
      </c>
      <c r="AP36" s="6">
        <v>35</v>
      </c>
      <c r="AQ36" s="2"/>
      <c r="AR36" s="2" t="s">
        <v>80</v>
      </c>
      <c r="AS36" s="6">
        <v>3</v>
      </c>
      <c r="AT36" s="6">
        <v>5</v>
      </c>
      <c r="AU36" s="6">
        <v>2</v>
      </c>
      <c r="AV36" s="6">
        <v>3</v>
      </c>
      <c r="AW36" s="6">
        <v>3</v>
      </c>
      <c r="AX36">
        <f t="shared" si="2"/>
        <v>8</v>
      </c>
    </row>
    <row r="37" spans="1:50" x14ac:dyDescent="0.25">
      <c r="A37" t="s">
        <v>155</v>
      </c>
      <c r="B37" t="s">
        <v>104</v>
      </c>
      <c r="E37" t="s">
        <v>92</v>
      </c>
      <c r="F37" s="33">
        <v>36</v>
      </c>
      <c r="G37" s="34" t="s">
        <v>99</v>
      </c>
      <c r="H37" s="34" t="s">
        <v>32</v>
      </c>
      <c r="I37" s="34" t="s">
        <v>200</v>
      </c>
      <c r="J37" s="35">
        <f>'Skoring BK'!$E$5</f>
        <v>0.5</v>
      </c>
      <c r="K37" s="35">
        <f>'Skoring BK'!$F$5</f>
        <v>0.33333333333333331</v>
      </c>
      <c r="L37" s="35">
        <f>'Skoring BK'!$G$5</f>
        <v>0.16666666666666666</v>
      </c>
      <c r="N37" s="6">
        <v>36</v>
      </c>
      <c r="O37" s="6" t="s">
        <v>96</v>
      </c>
      <c r="P37" s="6">
        <v>3</v>
      </c>
      <c r="Q37" s="6">
        <v>5</v>
      </c>
      <c r="T37" s="6">
        <v>36</v>
      </c>
      <c r="U37" s="6" t="s">
        <v>96</v>
      </c>
      <c r="V37" s="6">
        <v>5</v>
      </c>
      <c r="Y37" s="13">
        <v>36</v>
      </c>
      <c r="Z37" s="13" t="s">
        <v>96</v>
      </c>
      <c r="AA37" s="13">
        <v>3</v>
      </c>
      <c r="AB37" s="13">
        <v>2</v>
      </c>
      <c r="AC37" s="13">
        <v>2</v>
      </c>
      <c r="AD37" s="13">
        <f t="shared" si="0"/>
        <v>7</v>
      </c>
      <c r="AE37" s="13">
        <v>3</v>
      </c>
      <c r="AG37" s="6">
        <v>36</v>
      </c>
      <c r="AH37" s="2" t="s">
        <v>96</v>
      </c>
      <c r="AI37" s="6">
        <v>3</v>
      </c>
      <c r="AJ37" s="6">
        <v>5</v>
      </c>
      <c r="AK37" s="6">
        <v>3</v>
      </c>
      <c r="AL37" s="6">
        <v>2</v>
      </c>
      <c r="AM37" s="6">
        <v>2</v>
      </c>
      <c r="AN37">
        <f t="shared" si="1"/>
        <v>7</v>
      </c>
      <c r="AP37" s="6">
        <v>36</v>
      </c>
      <c r="AQ37" s="2"/>
      <c r="AR37" s="2" t="s">
        <v>96</v>
      </c>
      <c r="AS37" s="6">
        <v>3</v>
      </c>
      <c r="AT37" s="6">
        <v>5</v>
      </c>
      <c r="AU37" s="6">
        <v>3</v>
      </c>
      <c r="AV37" s="6">
        <v>2</v>
      </c>
      <c r="AW37" s="6">
        <v>2</v>
      </c>
      <c r="AX37">
        <f t="shared" si="2"/>
        <v>7</v>
      </c>
    </row>
    <row r="38" spans="1:50" x14ac:dyDescent="0.25">
      <c r="A38" t="s">
        <v>142</v>
      </c>
      <c r="B38" t="s">
        <v>142</v>
      </c>
      <c r="E38" t="s">
        <v>104</v>
      </c>
      <c r="F38" s="33">
        <v>37</v>
      </c>
      <c r="G38" s="34" t="s">
        <v>195</v>
      </c>
      <c r="H38" s="34" t="s">
        <v>32</v>
      </c>
      <c r="I38" s="34" t="s">
        <v>203</v>
      </c>
      <c r="J38" s="35">
        <f>'Skoring BK'!$E$5</f>
        <v>0.5</v>
      </c>
      <c r="K38" s="35">
        <f>'Skoring BK'!$F$5</f>
        <v>0.33333333333333331</v>
      </c>
      <c r="L38" s="35">
        <f>'Skoring BK'!$G$5</f>
        <v>0.16666666666666666</v>
      </c>
      <c r="N38" s="6">
        <v>37</v>
      </c>
      <c r="O38" s="6" t="s">
        <v>97</v>
      </c>
      <c r="P38" s="6">
        <v>3</v>
      </c>
      <c r="Q38" s="6">
        <v>5</v>
      </c>
      <c r="T38" s="6">
        <v>37</v>
      </c>
      <c r="U38" s="6" t="s">
        <v>97</v>
      </c>
      <c r="V38" s="6">
        <v>5</v>
      </c>
      <c r="Y38" s="13">
        <v>37</v>
      </c>
      <c r="Z38" s="13" t="s">
        <v>97</v>
      </c>
      <c r="AA38" s="13">
        <v>3</v>
      </c>
      <c r="AB38" s="13">
        <v>2</v>
      </c>
      <c r="AC38" s="13">
        <v>2</v>
      </c>
      <c r="AD38" s="13">
        <f t="shared" si="0"/>
        <v>7</v>
      </c>
      <c r="AE38" s="13">
        <v>3</v>
      </c>
      <c r="AG38" s="6">
        <v>37</v>
      </c>
      <c r="AH38" s="2" t="s">
        <v>97</v>
      </c>
      <c r="AI38" s="6">
        <v>3</v>
      </c>
      <c r="AJ38" s="6">
        <v>5</v>
      </c>
      <c r="AK38" s="6">
        <v>3</v>
      </c>
      <c r="AL38" s="6">
        <v>2</v>
      </c>
      <c r="AM38" s="6">
        <v>2</v>
      </c>
      <c r="AN38">
        <f t="shared" si="1"/>
        <v>7</v>
      </c>
      <c r="AP38" s="6">
        <v>37</v>
      </c>
      <c r="AQ38" s="2"/>
      <c r="AR38" s="2" t="s">
        <v>97</v>
      </c>
      <c r="AS38" s="6">
        <v>3</v>
      </c>
      <c r="AT38" s="6">
        <v>5</v>
      </c>
      <c r="AU38" s="6">
        <v>3</v>
      </c>
      <c r="AV38" s="6">
        <v>2</v>
      </c>
      <c r="AW38" s="6">
        <v>2</v>
      </c>
      <c r="AX38">
        <f t="shared" si="2"/>
        <v>7</v>
      </c>
    </row>
    <row r="39" spans="1:50" x14ac:dyDescent="0.25">
      <c r="A39" t="s">
        <v>137</v>
      </c>
      <c r="B39" t="s">
        <v>195</v>
      </c>
      <c r="E39" t="s">
        <v>142</v>
      </c>
      <c r="F39" s="33">
        <v>38</v>
      </c>
      <c r="G39" s="34" t="s">
        <v>107</v>
      </c>
      <c r="H39" s="34" t="s">
        <v>32</v>
      </c>
      <c r="I39" s="34" t="s">
        <v>200</v>
      </c>
      <c r="J39" s="35">
        <f>'Skoring BK'!$E$5</f>
        <v>0.5</v>
      </c>
      <c r="K39" s="35">
        <f>'Skoring BK'!$F$5</f>
        <v>0.33333333333333331</v>
      </c>
      <c r="L39" s="35">
        <f>'Skoring BK'!$G$5</f>
        <v>0.16666666666666666</v>
      </c>
      <c r="N39" s="6">
        <v>38</v>
      </c>
      <c r="O39" s="6" t="s">
        <v>88</v>
      </c>
      <c r="P39" s="6">
        <v>3</v>
      </c>
      <c r="Q39" s="6">
        <v>5</v>
      </c>
      <c r="T39" s="6">
        <v>38</v>
      </c>
      <c r="U39" s="6" t="s">
        <v>88</v>
      </c>
      <c r="V39" s="6">
        <v>5</v>
      </c>
      <c r="Y39" s="13">
        <v>38</v>
      </c>
      <c r="Z39" s="13" t="s">
        <v>88</v>
      </c>
      <c r="AA39" s="13">
        <v>2</v>
      </c>
      <c r="AB39" s="13">
        <v>2</v>
      </c>
      <c r="AC39" s="13">
        <v>2</v>
      </c>
      <c r="AD39" s="13">
        <f t="shared" si="0"/>
        <v>6</v>
      </c>
      <c r="AE39" s="13">
        <v>3</v>
      </c>
      <c r="AG39" s="6">
        <v>38</v>
      </c>
      <c r="AH39" s="2" t="s">
        <v>88</v>
      </c>
      <c r="AI39" s="6">
        <v>3</v>
      </c>
      <c r="AJ39" s="6">
        <v>5</v>
      </c>
      <c r="AK39" s="6">
        <v>2</v>
      </c>
      <c r="AL39" s="6">
        <v>2</v>
      </c>
      <c r="AM39" s="6">
        <v>2</v>
      </c>
      <c r="AN39">
        <f t="shared" si="1"/>
        <v>6</v>
      </c>
      <c r="AP39" s="6">
        <v>38</v>
      </c>
      <c r="AQ39" s="2"/>
      <c r="AR39" s="2" t="s">
        <v>88</v>
      </c>
      <c r="AS39" s="6">
        <v>3</v>
      </c>
      <c r="AT39" s="6">
        <v>5</v>
      </c>
      <c r="AU39" s="6">
        <v>2</v>
      </c>
      <c r="AV39" s="6">
        <v>2</v>
      </c>
      <c r="AW39" s="6">
        <v>2</v>
      </c>
      <c r="AX39">
        <f t="shared" si="2"/>
        <v>6</v>
      </c>
    </row>
    <row r="40" spans="1:50" x14ac:dyDescent="0.25">
      <c r="A40" t="s">
        <v>138</v>
      </c>
      <c r="B40" t="s">
        <v>94</v>
      </c>
      <c r="E40" t="s">
        <v>195</v>
      </c>
      <c r="F40" s="33">
        <v>39</v>
      </c>
      <c r="G40" s="34" t="s">
        <v>93</v>
      </c>
      <c r="H40" s="34" t="s">
        <v>32</v>
      </c>
      <c r="I40" s="34" t="s">
        <v>200</v>
      </c>
      <c r="J40" s="35">
        <f>'Skoring BK'!$E$5</f>
        <v>0.5</v>
      </c>
      <c r="K40" s="35">
        <f>'Skoring BK'!$F$5</f>
        <v>0.33333333333333331</v>
      </c>
      <c r="L40" s="35">
        <f>'Skoring BK'!$G$5</f>
        <v>0.16666666666666666</v>
      </c>
      <c r="N40" s="6">
        <v>39</v>
      </c>
      <c r="O40" s="6" t="s">
        <v>99</v>
      </c>
      <c r="P40" s="6">
        <v>3</v>
      </c>
      <c r="Q40" s="6">
        <v>5</v>
      </c>
      <c r="T40" s="6">
        <v>39</v>
      </c>
      <c r="U40" s="6" t="s">
        <v>99</v>
      </c>
      <c r="V40" s="6">
        <v>5</v>
      </c>
      <c r="Y40" s="13">
        <v>39</v>
      </c>
      <c r="Z40" s="13" t="s">
        <v>99</v>
      </c>
      <c r="AA40" s="13">
        <v>2</v>
      </c>
      <c r="AB40" s="13">
        <v>2</v>
      </c>
      <c r="AC40" s="13">
        <v>2</v>
      </c>
      <c r="AD40" s="13">
        <f t="shared" si="0"/>
        <v>6</v>
      </c>
      <c r="AE40" s="13">
        <v>3</v>
      </c>
      <c r="AG40" s="6">
        <v>39</v>
      </c>
      <c r="AH40" s="2" t="s">
        <v>99</v>
      </c>
      <c r="AI40" s="6">
        <v>3</v>
      </c>
      <c r="AJ40" s="6">
        <v>5</v>
      </c>
      <c r="AK40" s="6">
        <v>2</v>
      </c>
      <c r="AL40" s="6">
        <v>2</v>
      </c>
      <c r="AM40" s="6">
        <v>2</v>
      </c>
      <c r="AN40">
        <f t="shared" si="1"/>
        <v>6</v>
      </c>
      <c r="AP40" s="6">
        <v>39</v>
      </c>
      <c r="AQ40" s="2"/>
      <c r="AR40" s="2" t="s">
        <v>99</v>
      </c>
      <c r="AS40" s="6">
        <v>3</v>
      </c>
      <c r="AT40" s="6">
        <v>5</v>
      </c>
      <c r="AU40" s="6">
        <v>2</v>
      </c>
      <c r="AV40" s="6">
        <v>2</v>
      </c>
      <c r="AW40" s="6">
        <v>2</v>
      </c>
      <c r="AX40">
        <f t="shared" si="2"/>
        <v>6</v>
      </c>
    </row>
    <row r="41" spans="1:50" x14ac:dyDescent="0.25">
      <c r="A41" t="s">
        <v>78</v>
      </c>
      <c r="B41" t="s">
        <v>78</v>
      </c>
      <c r="E41" t="s">
        <v>94</v>
      </c>
      <c r="F41" s="33">
        <v>40</v>
      </c>
      <c r="G41" s="34" t="s">
        <v>81</v>
      </c>
      <c r="H41" s="34" t="s">
        <v>204</v>
      </c>
      <c r="I41" s="34" t="s">
        <v>200</v>
      </c>
      <c r="J41" s="35">
        <f>'Skoring BK'!$E$4</f>
        <v>0.33333333333333331</v>
      </c>
      <c r="K41" s="35">
        <f>'Skoring BK'!$F$4</f>
        <v>0.33333333333333331</v>
      </c>
      <c r="L41" s="35">
        <f>'Skoring BK'!$G$4</f>
        <v>0.33333333333333331</v>
      </c>
      <c r="N41" s="6">
        <v>40</v>
      </c>
      <c r="O41" s="6" t="s">
        <v>85</v>
      </c>
      <c r="P41" s="6">
        <v>3</v>
      </c>
      <c r="Q41" s="6">
        <v>6</v>
      </c>
      <c r="T41" s="6">
        <v>40</v>
      </c>
      <c r="U41" s="6" t="s">
        <v>85</v>
      </c>
      <c r="V41" s="6">
        <v>6</v>
      </c>
      <c r="Y41" s="13">
        <v>40</v>
      </c>
      <c r="Z41" s="13" t="s">
        <v>85</v>
      </c>
      <c r="AA41" s="13">
        <v>2</v>
      </c>
      <c r="AB41" s="13">
        <v>3</v>
      </c>
      <c r="AC41" s="13">
        <v>2</v>
      </c>
      <c r="AD41" s="13">
        <f t="shared" si="0"/>
        <v>7</v>
      </c>
      <c r="AE41" s="13">
        <v>3</v>
      </c>
      <c r="AG41" s="6">
        <v>40</v>
      </c>
      <c r="AH41" s="2" t="s">
        <v>85</v>
      </c>
      <c r="AI41" s="6">
        <v>3</v>
      </c>
      <c r="AJ41" s="6">
        <v>6</v>
      </c>
      <c r="AK41" s="6">
        <v>2</v>
      </c>
      <c r="AL41" s="6">
        <v>3</v>
      </c>
      <c r="AM41" s="6">
        <v>2</v>
      </c>
      <c r="AN41">
        <f t="shared" si="1"/>
        <v>7</v>
      </c>
      <c r="AP41" s="6">
        <v>40</v>
      </c>
      <c r="AQ41" s="2"/>
      <c r="AR41" s="2"/>
      <c r="AS41" s="6"/>
      <c r="AT41" s="6"/>
      <c r="AU41" s="6"/>
      <c r="AV41" s="6"/>
      <c r="AW41" s="6"/>
    </row>
    <row r="42" spans="1:50" x14ac:dyDescent="0.25">
      <c r="A42" t="s">
        <v>126</v>
      </c>
      <c r="B42" t="s">
        <v>126</v>
      </c>
      <c r="E42" t="s">
        <v>78</v>
      </c>
      <c r="F42" s="33">
        <v>41</v>
      </c>
      <c r="G42" s="34" t="s">
        <v>190</v>
      </c>
      <c r="H42" s="34" t="s">
        <v>204</v>
      </c>
      <c r="I42" s="34" t="s">
        <v>200</v>
      </c>
      <c r="J42" s="35">
        <f>'Skoring BK'!$E$4</f>
        <v>0.33333333333333331</v>
      </c>
      <c r="K42" s="35">
        <f>'Skoring BK'!$F$4</f>
        <v>0.33333333333333331</v>
      </c>
      <c r="L42" s="35">
        <f>'Skoring BK'!$G$4</f>
        <v>0.33333333333333331</v>
      </c>
      <c r="N42" s="6">
        <v>41</v>
      </c>
      <c r="O42" s="6" t="s">
        <v>84</v>
      </c>
      <c r="P42" s="6">
        <v>3</v>
      </c>
      <c r="Q42" s="6">
        <v>6</v>
      </c>
      <c r="T42" s="6">
        <v>41</v>
      </c>
      <c r="U42" s="6" t="s">
        <v>84</v>
      </c>
      <c r="V42" s="6">
        <v>6</v>
      </c>
      <c r="Y42" s="13">
        <v>41</v>
      </c>
      <c r="Z42" s="13" t="s">
        <v>84</v>
      </c>
      <c r="AA42" s="13">
        <v>2</v>
      </c>
      <c r="AB42" s="13">
        <v>3</v>
      </c>
      <c r="AC42" s="13">
        <v>2</v>
      </c>
      <c r="AD42" s="13">
        <f t="shared" si="0"/>
        <v>7</v>
      </c>
      <c r="AE42" s="13">
        <v>3</v>
      </c>
      <c r="AG42" s="6">
        <v>41</v>
      </c>
      <c r="AH42" s="2" t="s">
        <v>84</v>
      </c>
      <c r="AI42" s="6">
        <v>3</v>
      </c>
      <c r="AJ42" s="6">
        <v>6</v>
      </c>
      <c r="AK42" s="6">
        <v>2</v>
      </c>
      <c r="AL42" s="6">
        <v>3</v>
      </c>
      <c r="AM42" s="6">
        <v>2</v>
      </c>
      <c r="AN42">
        <f t="shared" si="1"/>
        <v>7</v>
      </c>
      <c r="AP42" s="6">
        <v>41</v>
      </c>
      <c r="AQ42" s="2"/>
      <c r="AR42" s="2" t="s">
        <v>84</v>
      </c>
      <c r="AS42" s="6">
        <v>3</v>
      </c>
      <c r="AT42" s="6">
        <v>6</v>
      </c>
      <c r="AU42" s="6">
        <v>2</v>
      </c>
      <c r="AV42" s="6">
        <v>3</v>
      </c>
      <c r="AW42" s="6">
        <v>2</v>
      </c>
      <c r="AX42">
        <f t="shared" si="2"/>
        <v>7</v>
      </c>
    </row>
    <row r="43" spans="1:50" x14ac:dyDescent="0.25">
      <c r="A43" t="s">
        <v>80</v>
      </c>
      <c r="B43" t="s">
        <v>80</v>
      </c>
      <c r="E43" t="s">
        <v>126</v>
      </c>
      <c r="F43" s="33">
        <v>42</v>
      </c>
      <c r="G43" s="34" t="s">
        <v>142</v>
      </c>
      <c r="H43" s="34" t="s">
        <v>204</v>
      </c>
      <c r="I43" s="34" t="s">
        <v>200</v>
      </c>
      <c r="J43" s="35">
        <f>'Skoring BK'!$E$4</f>
        <v>0.33333333333333331</v>
      </c>
      <c r="K43" s="35">
        <f>'Skoring BK'!$F$4</f>
        <v>0.33333333333333331</v>
      </c>
      <c r="L43" s="35">
        <f>'Skoring BK'!$G$4</f>
        <v>0.33333333333333331</v>
      </c>
      <c r="N43" s="6">
        <v>42</v>
      </c>
      <c r="O43" s="6" t="s">
        <v>106</v>
      </c>
      <c r="P43" s="6">
        <v>3</v>
      </c>
      <c r="Q43" s="6">
        <v>6</v>
      </c>
      <c r="T43" s="6">
        <v>42</v>
      </c>
      <c r="U43" s="6" t="s">
        <v>106</v>
      </c>
      <c r="V43" s="6">
        <v>6</v>
      </c>
      <c r="Y43" s="13">
        <v>42</v>
      </c>
      <c r="Z43" s="13" t="s">
        <v>106</v>
      </c>
      <c r="AA43" s="13">
        <v>2</v>
      </c>
      <c r="AB43" s="13">
        <v>2</v>
      </c>
      <c r="AC43" s="13">
        <v>2</v>
      </c>
      <c r="AD43" s="13">
        <f t="shared" si="0"/>
        <v>6</v>
      </c>
      <c r="AE43" s="13">
        <v>3</v>
      </c>
      <c r="AG43" s="6">
        <v>42</v>
      </c>
      <c r="AH43" s="2" t="s">
        <v>106</v>
      </c>
      <c r="AI43" s="6">
        <v>3</v>
      </c>
      <c r="AJ43" s="6">
        <v>6</v>
      </c>
      <c r="AK43" s="6">
        <v>2</v>
      </c>
      <c r="AL43" s="6">
        <v>2</v>
      </c>
      <c r="AM43" s="6">
        <v>2</v>
      </c>
      <c r="AN43">
        <f t="shared" si="1"/>
        <v>6</v>
      </c>
      <c r="AP43" s="6">
        <v>42</v>
      </c>
      <c r="AQ43" s="2"/>
      <c r="AR43" s="2" t="s">
        <v>106</v>
      </c>
      <c r="AS43" s="6">
        <v>3</v>
      </c>
      <c r="AT43" s="6">
        <v>6</v>
      </c>
      <c r="AU43" s="6">
        <v>2</v>
      </c>
      <c r="AV43" s="6">
        <v>2</v>
      </c>
      <c r="AW43" s="6">
        <v>2</v>
      </c>
      <c r="AX43">
        <f t="shared" si="2"/>
        <v>6</v>
      </c>
    </row>
    <row r="44" spans="1:50" x14ac:dyDescent="0.25">
      <c r="A44" t="s">
        <v>109</v>
      </c>
      <c r="B44" t="s">
        <v>109</v>
      </c>
      <c r="E44" t="s">
        <v>80</v>
      </c>
      <c r="F44" s="33">
        <v>43</v>
      </c>
      <c r="G44" s="34" t="s">
        <v>92</v>
      </c>
      <c r="H44" s="34" t="s">
        <v>204</v>
      </c>
      <c r="I44" s="34" t="s">
        <v>200</v>
      </c>
      <c r="J44" s="35">
        <f>'Skoring BK'!$E$4</f>
        <v>0.33333333333333331</v>
      </c>
      <c r="K44" s="35">
        <f>'Skoring BK'!$F$4</f>
        <v>0.33333333333333331</v>
      </c>
      <c r="L44" s="35">
        <f>'Skoring BK'!$G$4</f>
        <v>0.33333333333333331</v>
      </c>
      <c r="N44" s="6">
        <v>43</v>
      </c>
      <c r="O44" s="6" t="s">
        <v>98</v>
      </c>
      <c r="P44" s="6">
        <v>3</v>
      </c>
      <c r="Q44" s="6">
        <v>6</v>
      </c>
      <c r="T44" s="6">
        <v>43</v>
      </c>
      <c r="U44" s="6" t="s">
        <v>98</v>
      </c>
      <c r="V44" s="6">
        <v>6</v>
      </c>
      <c r="Y44" s="13">
        <v>43</v>
      </c>
      <c r="Z44" s="13" t="s">
        <v>98</v>
      </c>
      <c r="AA44" s="13">
        <v>2</v>
      </c>
      <c r="AB44" s="13">
        <v>2</v>
      </c>
      <c r="AC44" s="13">
        <v>2</v>
      </c>
      <c r="AD44" s="13">
        <f t="shared" si="0"/>
        <v>6</v>
      </c>
      <c r="AE44" s="13">
        <v>3</v>
      </c>
      <c r="AG44" s="6">
        <v>43</v>
      </c>
      <c r="AH44" s="2" t="s">
        <v>98</v>
      </c>
      <c r="AI44" s="6">
        <v>3</v>
      </c>
      <c r="AJ44" s="6">
        <v>6</v>
      </c>
      <c r="AK44" s="6">
        <v>2</v>
      </c>
      <c r="AL44" s="6">
        <v>2</v>
      </c>
      <c r="AM44" s="6">
        <v>2</v>
      </c>
      <c r="AN44">
        <f t="shared" si="1"/>
        <v>6</v>
      </c>
      <c r="AP44" s="6">
        <v>43</v>
      </c>
      <c r="AQ44" s="2"/>
      <c r="AR44" s="2" t="s">
        <v>98</v>
      </c>
      <c r="AS44" s="6">
        <v>3</v>
      </c>
      <c r="AT44" s="6">
        <v>6</v>
      </c>
      <c r="AU44" s="6">
        <v>2</v>
      </c>
      <c r="AV44" s="6">
        <v>2</v>
      </c>
      <c r="AW44" s="6">
        <v>2</v>
      </c>
      <c r="AX44">
        <f t="shared" si="2"/>
        <v>6</v>
      </c>
    </row>
    <row r="45" spans="1:50" x14ac:dyDescent="0.25">
      <c r="A45" t="s">
        <v>150</v>
      </c>
      <c r="B45" t="s">
        <v>150</v>
      </c>
      <c r="E45" t="s">
        <v>109</v>
      </c>
      <c r="F45" s="33">
        <v>44</v>
      </c>
      <c r="G45" s="34" t="s">
        <v>104</v>
      </c>
      <c r="H45" s="34" t="s">
        <v>204</v>
      </c>
      <c r="I45" s="34" t="s">
        <v>200</v>
      </c>
      <c r="J45" s="35">
        <f>'Skoring BK'!$E$4</f>
        <v>0.33333333333333331</v>
      </c>
      <c r="K45" s="35">
        <f>'Skoring BK'!$F$4</f>
        <v>0.33333333333333331</v>
      </c>
      <c r="L45" s="35">
        <f>'Skoring BK'!$G$4</f>
        <v>0.33333333333333331</v>
      </c>
      <c r="N45" s="6">
        <v>44</v>
      </c>
      <c r="O45" s="6" t="s">
        <v>89</v>
      </c>
      <c r="P45" s="6">
        <v>3</v>
      </c>
      <c r="Q45" s="6">
        <v>6</v>
      </c>
      <c r="T45" s="6">
        <v>44</v>
      </c>
      <c r="U45" s="6" t="s">
        <v>89</v>
      </c>
      <c r="V45" s="6">
        <v>6</v>
      </c>
      <c r="Y45" s="13">
        <v>44</v>
      </c>
      <c r="Z45" s="13" t="s">
        <v>89</v>
      </c>
      <c r="AA45" s="13">
        <v>2</v>
      </c>
      <c r="AB45" s="13">
        <v>2</v>
      </c>
      <c r="AC45" s="13">
        <v>2</v>
      </c>
      <c r="AD45" s="13">
        <f t="shared" si="0"/>
        <v>6</v>
      </c>
      <c r="AE45" s="13">
        <v>3</v>
      </c>
      <c r="AG45" s="6">
        <v>44</v>
      </c>
      <c r="AH45" s="2" t="s">
        <v>89</v>
      </c>
      <c r="AI45" s="6">
        <v>3</v>
      </c>
      <c r="AJ45" s="6">
        <v>6</v>
      </c>
      <c r="AK45" s="6">
        <v>2</v>
      </c>
      <c r="AL45" s="6">
        <v>2</v>
      </c>
      <c r="AM45" s="6">
        <v>2</v>
      </c>
      <c r="AN45">
        <f t="shared" si="1"/>
        <v>6</v>
      </c>
      <c r="AP45" s="6">
        <v>44</v>
      </c>
      <c r="AQ45" s="2"/>
      <c r="AR45" s="2" t="s">
        <v>89</v>
      </c>
      <c r="AS45" s="6">
        <v>3</v>
      </c>
      <c r="AT45" s="6">
        <v>6</v>
      </c>
      <c r="AU45" s="6">
        <v>2</v>
      </c>
      <c r="AV45" s="6">
        <v>2</v>
      </c>
      <c r="AW45" s="6">
        <v>2</v>
      </c>
      <c r="AX45">
        <f t="shared" si="2"/>
        <v>6</v>
      </c>
    </row>
    <row r="46" spans="1:50" x14ac:dyDescent="0.25">
      <c r="A46" t="s">
        <v>151</v>
      </c>
      <c r="B46" t="s">
        <v>151</v>
      </c>
      <c r="E46" t="s">
        <v>150</v>
      </c>
      <c r="F46" s="33">
        <v>45</v>
      </c>
      <c r="G46" s="34" t="s">
        <v>102</v>
      </c>
      <c r="H46" s="34" t="s">
        <v>204</v>
      </c>
      <c r="I46" s="34" t="s">
        <v>200</v>
      </c>
      <c r="J46" s="35">
        <f>'Skoring BK'!$E$4</f>
        <v>0.33333333333333331</v>
      </c>
      <c r="K46" s="35">
        <f>'Skoring BK'!$F$4</f>
        <v>0.33333333333333331</v>
      </c>
      <c r="L46" s="35">
        <f>'Skoring BK'!$G$4</f>
        <v>0.33333333333333331</v>
      </c>
      <c r="N46" s="6">
        <v>45</v>
      </c>
      <c r="O46" s="6" t="s">
        <v>92</v>
      </c>
      <c r="P46" s="6">
        <v>3</v>
      </c>
      <c r="Q46" s="6">
        <v>6</v>
      </c>
      <c r="T46" s="6">
        <v>45</v>
      </c>
      <c r="U46" s="6" t="s">
        <v>92</v>
      </c>
      <c r="V46" s="6">
        <v>6</v>
      </c>
      <c r="Y46" s="13">
        <v>45</v>
      </c>
      <c r="Z46" s="13" t="s">
        <v>92</v>
      </c>
      <c r="AA46" s="13">
        <v>2</v>
      </c>
      <c r="AB46" s="13">
        <v>2</v>
      </c>
      <c r="AC46" s="13">
        <v>2</v>
      </c>
      <c r="AD46" s="13">
        <f t="shared" si="0"/>
        <v>6</v>
      </c>
      <c r="AE46" s="13">
        <v>3</v>
      </c>
      <c r="AG46" s="6">
        <v>45</v>
      </c>
      <c r="AH46" s="2" t="s">
        <v>92</v>
      </c>
      <c r="AI46" s="6">
        <v>2</v>
      </c>
      <c r="AJ46" s="6">
        <v>6</v>
      </c>
      <c r="AK46" s="6">
        <v>2</v>
      </c>
      <c r="AL46" s="6">
        <v>2</v>
      </c>
      <c r="AM46" s="6">
        <v>2</v>
      </c>
      <c r="AN46">
        <f t="shared" si="1"/>
        <v>6</v>
      </c>
      <c r="AP46" s="6">
        <v>45</v>
      </c>
      <c r="AQ46" s="2"/>
      <c r="AR46" s="2" t="s">
        <v>92</v>
      </c>
      <c r="AS46" s="6">
        <v>2</v>
      </c>
      <c r="AT46" s="6">
        <v>6</v>
      </c>
      <c r="AU46" s="6">
        <v>2</v>
      </c>
      <c r="AV46" s="6">
        <v>2</v>
      </c>
      <c r="AW46" s="6">
        <v>2</v>
      </c>
      <c r="AX46">
        <f t="shared" si="2"/>
        <v>6</v>
      </c>
    </row>
    <row r="47" spans="1:50" x14ac:dyDescent="0.25">
      <c r="A47" t="s">
        <v>152</v>
      </c>
      <c r="B47" t="s">
        <v>152</v>
      </c>
      <c r="E47" t="s">
        <v>151</v>
      </c>
      <c r="F47" s="33">
        <v>46</v>
      </c>
      <c r="G47" s="34" t="s">
        <v>80</v>
      </c>
      <c r="H47" s="34" t="s">
        <v>24</v>
      </c>
      <c r="I47" s="34" t="s">
        <v>200</v>
      </c>
      <c r="J47" s="35">
        <f>'Skoring BK'!$E$3</f>
        <v>0.16666666666666666</v>
      </c>
      <c r="K47" s="35">
        <f>'Skoring BK'!$F$3</f>
        <v>0.33333333333333331</v>
      </c>
      <c r="L47" s="35">
        <f>'Skoring BK'!$G$3</f>
        <v>0.5</v>
      </c>
      <c r="N47" s="6">
        <v>46</v>
      </c>
      <c r="O47" s="6" t="s">
        <v>81</v>
      </c>
      <c r="P47" s="6">
        <v>3</v>
      </c>
      <c r="Q47" s="6">
        <v>6</v>
      </c>
      <c r="T47" s="6">
        <v>46</v>
      </c>
      <c r="U47" s="6" t="s">
        <v>81</v>
      </c>
      <c r="V47" s="6">
        <v>6</v>
      </c>
      <c r="Y47" s="13">
        <v>46</v>
      </c>
      <c r="Z47" s="13" t="s">
        <v>81</v>
      </c>
      <c r="AA47" s="13">
        <v>3</v>
      </c>
      <c r="AB47" s="13">
        <v>3</v>
      </c>
      <c r="AC47" s="13">
        <v>2</v>
      </c>
      <c r="AD47" s="13">
        <f t="shared" si="0"/>
        <v>8</v>
      </c>
      <c r="AE47" s="13">
        <v>3</v>
      </c>
      <c r="AG47" s="6">
        <v>46</v>
      </c>
      <c r="AH47" s="2" t="s">
        <v>81</v>
      </c>
      <c r="AI47" s="6">
        <v>3</v>
      </c>
      <c r="AJ47" s="6">
        <v>6</v>
      </c>
      <c r="AK47" s="6">
        <v>3</v>
      </c>
      <c r="AL47" s="6">
        <v>3</v>
      </c>
      <c r="AM47" s="6">
        <v>2</v>
      </c>
      <c r="AN47">
        <f t="shared" si="1"/>
        <v>8</v>
      </c>
      <c r="AP47" s="6">
        <v>46</v>
      </c>
      <c r="AQ47" s="2"/>
      <c r="AR47" s="2"/>
      <c r="AS47" s="6"/>
      <c r="AT47" s="6"/>
      <c r="AU47" s="6"/>
      <c r="AV47" s="6"/>
      <c r="AW47" s="6"/>
    </row>
    <row r="48" spans="1:50" x14ac:dyDescent="0.25">
      <c r="A48" t="s">
        <v>154</v>
      </c>
      <c r="B48" t="s">
        <v>154</v>
      </c>
      <c r="E48" t="s">
        <v>152</v>
      </c>
      <c r="F48" s="33">
        <v>47</v>
      </c>
      <c r="G48" s="34" t="s">
        <v>105</v>
      </c>
      <c r="H48" s="34" t="s">
        <v>24</v>
      </c>
      <c r="I48" s="34" t="s">
        <v>200</v>
      </c>
      <c r="J48" s="35">
        <f>'Skoring BK'!$E$3</f>
        <v>0.16666666666666666</v>
      </c>
      <c r="K48" s="35">
        <f>'Skoring BK'!$F$3</f>
        <v>0.33333333333333331</v>
      </c>
      <c r="L48" s="35">
        <f>'Skoring BK'!$G$3</f>
        <v>0.5</v>
      </c>
      <c r="N48" s="6">
        <v>47</v>
      </c>
      <c r="O48" s="6" t="s">
        <v>190</v>
      </c>
      <c r="P48" s="6">
        <v>2</v>
      </c>
      <c r="Q48" s="6">
        <v>6</v>
      </c>
      <c r="T48" s="6">
        <v>47</v>
      </c>
      <c r="U48" s="6" t="s">
        <v>190</v>
      </c>
      <c r="V48" s="6">
        <v>6</v>
      </c>
      <c r="Y48" s="13">
        <v>47</v>
      </c>
      <c r="Z48" s="13" t="s">
        <v>190</v>
      </c>
      <c r="AA48" s="13">
        <v>2</v>
      </c>
      <c r="AB48" s="13">
        <v>3</v>
      </c>
      <c r="AC48" s="13">
        <v>2</v>
      </c>
      <c r="AD48" s="13">
        <f t="shared" si="0"/>
        <v>7</v>
      </c>
      <c r="AE48" s="13">
        <v>3</v>
      </c>
      <c r="AG48" s="6">
        <v>47</v>
      </c>
      <c r="AH48" s="2" t="s">
        <v>190</v>
      </c>
      <c r="AI48" s="6">
        <v>3</v>
      </c>
      <c r="AJ48" s="6">
        <v>6</v>
      </c>
      <c r="AK48" s="6">
        <v>2</v>
      </c>
      <c r="AL48" s="6">
        <v>3</v>
      </c>
      <c r="AM48" s="6">
        <v>2</v>
      </c>
      <c r="AN48">
        <f t="shared" si="1"/>
        <v>7</v>
      </c>
      <c r="AP48" s="6">
        <v>47</v>
      </c>
      <c r="AQ48" s="2"/>
      <c r="AR48" s="2"/>
      <c r="AS48" s="6"/>
      <c r="AT48" s="6"/>
      <c r="AU48" s="6"/>
      <c r="AV48" s="6"/>
      <c r="AW48" s="6"/>
    </row>
    <row r="49" spans="1:50" x14ac:dyDescent="0.25">
      <c r="A49" t="s">
        <v>120</v>
      </c>
      <c r="B49" t="s">
        <v>120</v>
      </c>
      <c r="E49" t="s">
        <v>154</v>
      </c>
      <c r="F49" s="33">
        <v>48</v>
      </c>
      <c r="G49" s="34" t="s">
        <v>111</v>
      </c>
      <c r="H49" s="34" t="s">
        <v>24</v>
      </c>
      <c r="I49" s="34" t="s">
        <v>200</v>
      </c>
      <c r="J49" s="35">
        <f>'Skoring BK'!$E$3</f>
        <v>0.16666666666666666</v>
      </c>
      <c r="K49" s="35">
        <f>'Skoring BK'!$F$3</f>
        <v>0.33333333333333331</v>
      </c>
      <c r="L49" s="35">
        <f>'Skoring BK'!$G$3</f>
        <v>0.5</v>
      </c>
      <c r="N49" s="6">
        <v>48</v>
      </c>
      <c r="O49" s="6" t="s">
        <v>104</v>
      </c>
      <c r="P49" s="6">
        <v>3</v>
      </c>
      <c r="Q49" s="6">
        <v>7</v>
      </c>
      <c r="T49" s="6">
        <v>48</v>
      </c>
      <c r="U49" s="6" t="s">
        <v>104</v>
      </c>
      <c r="V49" s="6">
        <v>7</v>
      </c>
      <c r="Y49" s="13">
        <v>48</v>
      </c>
      <c r="Z49" s="13" t="s">
        <v>104</v>
      </c>
      <c r="AA49" s="13">
        <v>2</v>
      </c>
      <c r="AB49" s="13">
        <v>2</v>
      </c>
      <c r="AC49" s="13">
        <v>2</v>
      </c>
      <c r="AD49" s="13">
        <f t="shared" si="0"/>
        <v>6</v>
      </c>
      <c r="AE49" s="13">
        <v>3</v>
      </c>
      <c r="AG49" s="6">
        <v>48</v>
      </c>
      <c r="AH49" s="2" t="s">
        <v>104</v>
      </c>
      <c r="AI49" s="6">
        <v>2</v>
      </c>
      <c r="AJ49" s="6">
        <v>7</v>
      </c>
      <c r="AK49" s="6">
        <v>2</v>
      </c>
      <c r="AL49" s="6">
        <v>2</v>
      </c>
      <c r="AM49" s="6">
        <v>2</v>
      </c>
      <c r="AN49">
        <f t="shared" si="1"/>
        <v>6</v>
      </c>
      <c r="AP49" s="6">
        <v>48</v>
      </c>
      <c r="AQ49" s="2"/>
      <c r="AR49" s="2"/>
      <c r="AS49" s="6"/>
      <c r="AT49" s="6"/>
      <c r="AU49" s="6"/>
      <c r="AV49" s="6"/>
      <c r="AW49" s="6"/>
    </row>
    <row r="50" spans="1:50" x14ac:dyDescent="0.25">
      <c r="A50" t="s">
        <v>119</v>
      </c>
      <c r="B50" t="s">
        <v>119</v>
      </c>
      <c r="E50" t="s">
        <v>120</v>
      </c>
      <c r="F50" s="33">
        <v>49</v>
      </c>
      <c r="G50" s="34" t="s">
        <v>157</v>
      </c>
      <c r="H50" s="34" t="s">
        <v>24</v>
      </c>
      <c r="I50" s="34" t="s">
        <v>200</v>
      </c>
      <c r="J50" s="35">
        <f>'Skoring BK'!$E$3</f>
        <v>0.16666666666666666</v>
      </c>
      <c r="K50" s="35">
        <f>'Skoring BK'!$F$3</f>
        <v>0.33333333333333331</v>
      </c>
      <c r="L50" s="35">
        <f>'Skoring BK'!$G$3</f>
        <v>0.5</v>
      </c>
      <c r="N50" s="6">
        <v>49</v>
      </c>
      <c r="O50" s="6" t="s">
        <v>215</v>
      </c>
      <c r="P50" s="6">
        <v>2</v>
      </c>
      <c r="Q50" s="6">
        <v>7</v>
      </c>
      <c r="T50" s="6">
        <v>49</v>
      </c>
      <c r="U50" s="6" t="s">
        <v>215</v>
      </c>
      <c r="V50" s="6">
        <v>7</v>
      </c>
      <c r="Y50" s="13">
        <v>49</v>
      </c>
      <c r="Z50" s="13" t="s">
        <v>215</v>
      </c>
      <c r="AA50" s="13">
        <v>2</v>
      </c>
      <c r="AB50" s="13">
        <v>3</v>
      </c>
      <c r="AC50" s="13">
        <v>2</v>
      </c>
      <c r="AD50" s="13">
        <f t="shared" si="0"/>
        <v>7</v>
      </c>
      <c r="AE50" s="13">
        <v>3</v>
      </c>
      <c r="AG50" s="6">
        <v>49</v>
      </c>
      <c r="AH50" s="2" t="s">
        <v>215</v>
      </c>
      <c r="AI50" s="6">
        <v>3</v>
      </c>
      <c r="AJ50" s="6">
        <v>7</v>
      </c>
      <c r="AK50" s="6">
        <v>2</v>
      </c>
      <c r="AL50" s="6">
        <v>3</v>
      </c>
      <c r="AM50" s="6">
        <v>2</v>
      </c>
      <c r="AN50">
        <f t="shared" si="1"/>
        <v>7</v>
      </c>
      <c r="AP50" s="6">
        <v>49</v>
      </c>
      <c r="AQ50" s="2"/>
      <c r="AR50" s="2" t="s">
        <v>215</v>
      </c>
      <c r="AS50" s="6">
        <v>3</v>
      </c>
      <c r="AT50" s="6">
        <v>6</v>
      </c>
      <c r="AU50" s="6">
        <v>2</v>
      </c>
      <c r="AV50" s="6">
        <v>3</v>
      </c>
      <c r="AW50" s="6">
        <v>2</v>
      </c>
      <c r="AX50">
        <f t="shared" si="2"/>
        <v>7</v>
      </c>
    </row>
    <row r="51" spans="1:50" x14ac:dyDescent="0.25">
      <c r="A51" t="s">
        <v>164</v>
      </c>
      <c r="B51" t="s">
        <v>164</v>
      </c>
      <c r="E51" t="s">
        <v>119</v>
      </c>
      <c r="F51" s="33">
        <v>50</v>
      </c>
      <c r="G51" s="34" t="s">
        <v>108</v>
      </c>
      <c r="H51" s="34" t="s">
        <v>24</v>
      </c>
      <c r="I51" s="34" t="s">
        <v>200</v>
      </c>
      <c r="J51" s="35">
        <f>'Skoring BK'!$E$3</f>
        <v>0.16666666666666666</v>
      </c>
      <c r="K51" s="35">
        <f>'Skoring BK'!$F$3</f>
        <v>0.33333333333333331</v>
      </c>
      <c r="L51" s="35">
        <f>'Skoring BK'!$G$3</f>
        <v>0.5</v>
      </c>
      <c r="N51" s="6">
        <v>50</v>
      </c>
      <c r="O51" s="6" t="s">
        <v>102</v>
      </c>
      <c r="P51" s="6">
        <v>3</v>
      </c>
      <c r="Q51" s="6">
        <v>7</v>
      </c>
      <c r="T51" s="6">
        <v>50</v>
      </c>
      <c r="U51" s="6" t="s">
        <v>102</v>
      </c>
      <c r="V51" s="6">
        <v>7</v>
      </c>
      <c r="Y51" s="13">
        <v>50</v>
      </c>
      <c r="Z51" s="13" t="s">
        <v>102</v>
      </c>
      <c r="AA51" s="13">
        <v>2</v>
      </c>
      <c r="AB51" s="13">
        <v>2</v>
      </c>
      <c r="AC51" s="13">
        <v>2</v>
      </c>
      <c r="AD51" s="13">
        <f t="shared" si="0"/>
        <v>6</v>
      </c>
      <c r="AE51" s="13">
        <v>3</v>
      </c>
      <c r="AG51" s="6">
        <v>50</v>
      </c>
      <c r="AH51" s="2" t="s">
        <v>102</v>
      </c>
      <c r="AI51" s="6">
        <v>3</v>
      </c>
      <c r="AJ51" s="6">
        <v>7</v>
      </c>
      <c r="AK51" s="6">
        <v>2</v>
      </c>
      <c r="AL51" s="6">
        <v>2</v>
      </c>
      <c r="AM51" s="6">
        <v>2</v>
      </c>
      <c r="AN51">
        <f t="shared" si="1"/>
        <v>6</v>
      </c>
      <c r="AP51" s="6">
        <v>50</v>
      </c>
      <c r="AQ51" s="2"/>
      <c r="AR51" s="2" t="s">
        <v>102</v>
      </c>
      <c r="AS51" s="6">
        <v>3</v>
      </c>
      <c r="AT51" s="6">
        <v>6</v>
      </c>
      <c r="AU51" s="6">
        <v>2</v>
      </c>
      <c r="AV51" s="6">
        <v>2</v>
      </c>
      <c r="AW51" s="6">
        <v>2</v>
      </c>
      <c r="AX51">
        <f t="shared" si="2"/>
        <v>6</v>
      </c>
    </row>
    <row r="52" spans="1:50" x14ac:dyDescent="0.25">
      <c r="A52" t="s">
        <v>84</v>
      </c>
      <c r="B52" t="s">
        <v>84</v>
      </c>
      <c r="E52" t="s">
        <v>164</v>
      </c>
      <c r="F52" s="33">
        <v>51</v>
      </c>
      <c r="G52" s="34" t="s">
        <v>158</v>
      </c>
      <c r="H52" s="34" t="s">
        <v>24</v>
      </c>
      <c r="I52" s="34" t="s">
        <v>200</v>
      </c>
      <c r="J52" s="35">
        <f>'Skoring BK'!$E$3</f>
        <v>0.16666666666666666</v>
      </c>
      <c r="K52" s="35">
        <f>'Skoring BK'!$F$3</f>
        <v>0.33333333333333331</v>
      </c>
      <c r="L52" s="35">
        <f>'Skoring BK'!$G$3</f>
        <v>0.5</v>
      </c>
      <c r="N52" s="6">
        <v>51</v>
      </c>
      <c r="O52" s="6" t="s">
        <v>143</v>
      </c>
      <c r="P52" s="6">
        <v>2</v>
      </c>
      <c r="Q52" s="6">
        <v>7</v>
      </c>
      <c r="T52" s="6">
        <v>51</v>
      </c>
      <c r="U52" s="6" t="s">
        <v>143</v>
      </c>
      <c r="V52" s="6">
        <v>7</v>
      </c>
      <c r="Y52" s="13">
        <v>51</v>
      </c>
      <c r="Z52" s="13" t="s">
        <v>143</v>
      </c>
      <c r="AA52" s="13">
        <v>2</v>
      </c>
      <c r="AB52" s="13">
        <v>2</v>
      </c>
      <c r="AC52" s="13">
        <v>2</v>
      </c>
      <c r="AD52" s="13">
        <f t="shared" si="0"/>
        <v>6</v>
      </c>
      <c r="AE52" s="13">
        <v>3</v>
      </c>
      <c r="AG52" s="6">
        <v>51</v>
      </c>
      <c r="AH52" s="2" t="s">
        <v>143</v>
      </c>
      <c r="AI52" s="6">
        <v>2</v>
      </c>
      <c r="AJ52" s="6">
        <v>7</v>
      </c>
      <c r="AK52" s="6">
        <v>2</v>
      </c>
      <c r="AL52" s="6">
        <v>2</v>
      </c>
      <c r="AM52" s="6">
        <v>2</v>
      </c>
      <c r="AN52">
        <f t="shared" si="1"/>
        <v>6</v>
      </c>
      <c r="AP52" s="6">
        <v>51</v>
      </c>
      <c r="AQ52" s="2"/>
      <c r="AR52" t="s">
        <v>234</v>
      </c>
      <c r="AS52" s="6">
        <v>2</v>
      </c>
      <c r="AT52" s="6">
        <v>7</v>
      </c>
      <c r="AU52" s="6">
        <v>2</v>
      </c>
      <c r="AV52" s="6">
        <v>2</v>
      </c>
      <c r="AW52" s="6">
        <v>2</v>
      </c>
      <c r="AX52">
        <f t="shared" si="2"/>
        <v>6</v>
      </c>
    </row>
    <row r="53" spans="1:50" x14ac:dyDescent="0.25">
      <c r="A53" t="s">
        <v>161</v>
      </c>
      <c r="B53" t="s">
        <v>161</v>
      </c>
      <c r="E53" t="s">
        <v>84</v>
      </c>
      <c r="F53" s="33">
        <v>52</v>
      </c>
      <c r="G53" s="34" t="s">
        <v>163</v>
      </c>
      <c r="H53" s="34" t="s">
        <v>24</v>
      </c>
      <c r="I53" s="34" t="s">
        <v>208</v>
      </c>
      <c r="J53" s="35">
        <f>'Skoring BK'!$E$3</f>
        <v>0.16666666666666666</v>
      </c>
      <c r="K53" s="35">
        <f>'Skoring BK'!$F$3</f>
        <v>0.33333333333333331</v>
      </c>
      <c r="L53" s="35">
        <f>'Skoring BK'!$G$3</f>
        <v>0.5</v>
      </c>
      <c r="N53" s="6">
        <v>52</v>
      </c>
      <c r="O53" s="6" t="s">
        <v>107</v>
      </c>
      <c r="P53" s="6">
        <v>2</v>
      </c>
      <c r="Q53" s="6">
        <v>7</v>
      </c>
      <c r="T53" s="6">
        <v>52</v>
      </c>
      <c r="U53" s="6" t="s">
        <v>107</v>
      </c>
      <c r="V53" s="6">
        <v>7</v>
      </c>
      <c r="Y53" s="13">
        <v>52</v>
      </c>
      <c r="Z53" s="13" t="s">
        <v>107</v>
      </c>
      <c r="AA53" s="13">
        <v>2</v>
      </c>
      <c r="AB53" s="13">
        <v>2</v>
      </c>
      <c r="AC53" s="13">
        <v>2</v>
      </c>
      <c r="AD53" s="13">
        <f t="shared" si="0"/>
        <v>6</v>
      </c>
      <c r="AE53" s="13">
        <v>3</v>
      </c>
      <c r="AG53" s="6">
        <v>52</v>
      </c>
      <c r="AH53" s="2" t="s">
        <v>107</v>
      </c>
      <c r="AI53" s="6">
        <v>3</v>
      </c>
      <c r="AJ53" s="6">
        <v>7</v>
      </c>
      <c r="AK53" s="6">
        <v>2</v>
      </c>
      <c r="AL53" s="6">
        <v>2</v>
      </c>
      <c r="AM53" s="6">
        <v>2</v>
      </c>
      <c r="AN53">
        <f t="shared" si="1"/>
        <v>6</v>
      </c>
      <c r="AP53" s="6">
        <v>52</v>
      </c>
      <c r="AQ53" s="2"/>
      <c r="AR53" s="2" t="s">
        <v>107</v>
      </c>
      <c r="AS53" s="6">
        <v>3</v>
      </c>
      <c r="AT53" s="6">
        <v>7</v>
      </c>
      <c r="AU53" s="6">
        <v>2</v>
      </c>
      <c r="AV53" s="6">
        <v>2</v>
      </c>
      <c r="AW53" s="6">
        <v>2</v>
      </c>
      <c r="AX53">
        <f t="shared" si="2"/>
        <v>6</v>
      </c>
    </row>
    <row r="54" spans="1:50" x14ac:dyDescent="0.25">
      <c r="A54" t="s">
        <v>145</v>
      </c>
      <c r="B54" t="s">
        <v>193</v>
      </c>
      <c r="E54" t="s">
        <v>161</v>
      </c>
      <c r="F54" s="33">
        <v>53</v>
      </c>
      <c r="G54" s="34" t="s">
        <v>112</v>
      </c>
      <c r="H54" s="34" t="s">
        <v>24</v>
      </c>
      <c r="I54" s="34" t="s">
        <v>209</v>
      </c>
      <c r="J54" s="35">
        <f>'Skoring BK'!$E$3</f>
        <v>0.16666666666666666</v>
      </c>
      <c r="K54" s="35">
        <f>'Skoring BK'!$F$3</f>
        <v>0.33333333333333331</v>
      </c>
      <c r="L54" s="35">
        <f>'Skoring BK'!$G$3</f>
        <v>0.5</v>
      </c>
      <c r="N54" s="6">
        <v>53</v>
      </c>
      <c r="O54" s="6" t="s">
        <v>109</v>
      </c>
      <c r="P54" s="6">
        <v>2</v>
      </c>
      <c r="Q54" s="6">
        <v>7</v>
      </c>
      <c r="T54" s="6">
        <v>53</v>
      </c>
      <c r="U54" s="6" t="s">
        <v>109</v>
      </c>
      <c r="V54" s="6">
        <v>7</v>
      </c>
      <c r="Y54" s="13">
        <v>53</v>
      </c>
      <c r="Z54" s="13" t="s">
        <v>109</v>
      </c>
      <c r="AA54" s="13">
        <v>2</v>
      </c>
      <c r="AB54" s="13">
        <v>3</v>
      </c>
      <c r="AC54" s="13">
        <v>2</v>
      </c>
      <c r="AD54" s="13">
        <f t="shared" si="0"/>
        <v>7</v>
      </c>
      <c r="AE54" s="13">
        <v>3</v>
      </c>
      <c r="AG54" s="6">
        <v>53</v>
      </c>
      <c r="AH54" s="2" t="s">
        <v>109</v>
      </c>
      <c r="AI54" s="6">
        <v>3</v>
      </c>
      <c r="AJ54" s="6">
        <v>7</v>
      </c>
      <c r="AK54" s="6">
        <v>2</v>
      </c>
      <c r="AL54" s="6">
        <v>3</v>
      </c>
      <c r="AM54" s="6">
        <v>2</v>
      </c>
      <c r="AN54">
        <f t="shared" si="1"/>
        <v>7</v>
      </c>
      <c r="AP54" s="6">
        <v>53</v>
      </c>
      <c r="AQ54" s="2"/>
      <c r="AR54" s="2" t="s">
        <v>109</v>
      </c>
      <c r="AS54" s="6">
        <v>3</v>
      </c>
      <c r="AT54" s="6">
        <v>7</v>
      </c>
      <c r="AU54" s="6">
        <v>2</v>
      </c>
      <c r="AV54" s="6">
        <v>3</v>
      </c>
      <c r="AW54" s="6">
        <v>2</v>
      </c>
      <c r="AX54">
        <f t="shared" si="2"/>
        <v>7</v>
      </c>
    </row>
    <row r="55" spans="1:50" x14ac:dyDescent="0.25">
      <c r="A55" t="s">
        <v>77</v>
      </c>
      <c r="B55" t="s">
        <v>77</v>
      </c>
      <c r="E55" t="s">
        <v>77</v>
      </c>
      <c r="F55" s="33">
        <v>54</v>
      </c>
      <c r="G55" s="34" t="s">
        <v>113</v>
      </c>
      <c r="H55" s="34" t="s">
        <v>20</v>
      </c>
      <c r="I55" s="34" t="s">
        <v>200</v>
      </c>
      <c r="J55" s="35">
        <f>'Skoring BK'!$E$7</f>
        <v>0.2857142857142857</v>
      </c>
      <c r="K55" s="35">
        <f>'Skoring BK'!$F$7</f>
        <v>0.42857142857142855</v>
      </c>
      <c r="L55" s="35">
        <f>'Skoring BK'!$G$7</f>
        <v>0.2857142857142857</v>
      </c>
      <c r="N55" s="6">
        <v>54</v>
      </c>
      <c r="O55" s="6" t="s">
        <v>105</v>
      </c>
      <c r="P55" s="6">
        <v>3</v>
      </c>
      <c r="Q55" s="6">
        <v>7</v>
      </c>
      <c r="T55" s="6">
        <v>54</v>
      </c>
      <c r="U55" s="6" t="s">
        <v>105</v>
      </c>
      <c r="V55" s="6">
        <v>7</v>
      </c>
      <c r="Y55" s="13">
        <v>54</v>
      </c>
      <c r="Z55" s="13" t="s">
        <v>105</v>
      </c>
      <c r="AA55" s="13">
        <v>2</v>
      </c>
      <c r="AB55" s="13">
        <v>3</v>
      </c>
      <c r="AC55" s="13">
        <v>3</v>
      </c>
      <c r="AD55" s="13">
        <f t="shared" si="0"/>
        <v>8</v>
      </c>
      <c r="AE55" s="13">
        <v>3</v>
      </c>
      <c r="AG55" s="6">
        <v>54</v>
      </c>
      <c r="AH55" s="2" t="s">
        <v>105</v>
      </c>
      <c r="AI55" s="6">
        <v>2</v>
      </c>
      <c r="AJ55" s="6">
        <v>7</v>
      </c>
      <c r="AK55" s="6">
        <v>2</v>
      </c>
      <c r="AL55" s="6">
        <v>3</v>
      </c>
      <c r="AM55" s="6">
        <v>3</v>
      </c>
      <c r="AN55">
        <f t="shared" si="1"/>
        <v>8</v>
      </c>
      <c r="AP55" s="6">
        <v>54</v>
      </c>
      <c r="AQ55" s="2"/>
      <c r="AR55" s="2" t="s">
        <v>105</v>
      </c>
      <c r="AS55" s="6">
        <v>3</v>
      </c>
      <c r="AT55" s="6">
        <v>7</v>
      </c>
      <c r="AU55" s="6">
        <v>2</v>
      </c>
      <c r="AV55" s="6">
        <v>3</v>
      </c>
      <c r="AW55" s="6">
        <v>3</v>
      </c>
      <c r="AX55">
        <f t="shared" si="2"/>
        <v>8</v>
      </c>
    </row>
    <row r="56" spans="1:50" x14ac:dyDescent="0.25">
      <c r="A56" t="s">
        <v>163</v>
      </c>
      <c r="B56" t="s">
        <v>163</v>
      </c>
      <c r="E56" t="s">
        <v>163</v>
      </c>
      <c r="F56" s="33">
        <v>55</v>
      </c>
      <c r="G56" s="34" t="s">
        <v>152</v>
      </c>
      <c r="H56" s="34" t="s">
        <v>54</v>
      </c>
      <c r="I56" s="34" t="s">
        <v>200</v>
      </c>
      <c r="J56" s="35">
        <f>'Skoring BK'!$E$8</f>
        <v>0.33333333333333331</v>
      </c>
      <c r="K56" s="35">
        <f>'Skoring BK'!$F$8</f>
        <v>0.16666666666666666</v>
      </c>
      <c r="L56" s="35">
        <f>'Skoring BK'!$G$8</f>
        <v>0.5</v>
      </c>
      <c r="N56" s="6">
        <v>55</v>
      </c>
      <c r="O56" s="6" t="s">
        <v>100</v>
      </c>
      <c r="P56" s="6">
        <v>3</v>
      </c>
      <c r="Q56" s="6">
        <v>7</v>
      </c>
      <c r="T56" s="6">
        <v>55</v>
      </c>
      <c r="U56" s="6" t="s">
        <v>100</v>
      </c>
      <c r="V56" s="6">
        <v>7</v>
      </c>
      <c r="Y56" s="13">
        <v>55</v>
      </c>
      <c r="Z56" s="13" t="s">
        <v>100</v>
      </c>
      <c r="AA56" s="13">
        <v>2</v>
      </c>
      <c r="AB56" s="13">
        <v>3</v>
      </c>
      <c r="AC56" s="13">
        <v>2</v>
      </c>
      <c r="AD56" s="13">
        <f t="shared" si="0"/>
        <v>7</v>
      </c>
      <c r="AE56" s="13">
        <v>3</v>
      </c>
      <c r="AG56" s="6">
        <v>55</v>
      </c>
      <c r="AH56" s="2" t="s">
        <v>100</v>
      </c>
      <c r="AI56" s="6">
        <v>3</v>
      </c>
      <c r="AJ56" s="6">
        <v>7</v>
      </c>
      <c r="AK56" s="6">
        <v>2</v>
      </c>
      <c r="AL56" s="6">
        <v>3</v>
      </c>
      <c r="AM56" s="6">
        <v>2</v>
      </c>
      <c r="AN56">
        <f t="shared" si="1"/>
        <v>7</v>
      </c>
      <c r="AP56" s="6">
        <v>55</v>
      </c>
      <c r="AQ56" s="2"/>
      <c r="AR56" s="2" t="s">
        <v>100</v>
      </c>
      <c r="AS56" s="6">
        <v>3</v>
      </c>
      <c r="AT56" s="6">
        <v>7</v>
      </c>
      <c r="AU56" s="6">
        <v>2</v>
      </c>
      <c r="AV56" s="6">
        <v>3</v>
      </c>
      <c r="AW56" s="6">
        <v>2</v>
      </c>
      <c r="AX56">
        <f t="shared" si="2"/>
        <v>7</v>
      </c>
    </row>
    <row r="57" spans="1:50" x14ac:dyDescent="0.25">
      <c r="A57" t="s">
        <v>147</v>
      </c>
      <c r="B57" t="s">
        <v>112</v>
      </c>
      <c r="E57" t="s">
        <v>112</v>
      </c>
      <c r="F57" s="33">
        <v>56</v>
      </c>
      <c r="G57" s="34" t="s">
        <v>211</v>
      </c>
      <c r="H57" s="34" t="s">
        <v>204</v>
      </c>
      <c r="I57" s="34" t="s">
        <v>200</v>
      </c>
      <c r="J57" s="35">
        <f>'Skoring BK'!$E$4</f>
        <v>0.33333333333333331</v>
      </c>
      <c r="K57" s="35">
        <f>'Skoring BK'!$F$4</f>
        <v>0.33333333333333331</v>
      </c>
      <c r="L57" s="35">
        <f>'Skoring BK'!$G$4</f>
        <v>0.33333333333333331</v>
      </c>
      <c r="N57" s="6">
        <v>56</v>
      </c>
      <c r="O57" s="6" t="s">
        <v>101</v>
      </c>
      <c r="P57" s="6">
        <v>2</v>
      </c>
      <c r="Q57" s="6">
        <v>7</v>
      </c>
      <c r="T57" s="6">
        <v>56</v>
      </c>
      <c r="U57" s="6" t="s">
        <v>101</v>
      </c>
      <c r="V57" s="6">
        <v>7</v>
      </c>
      <c r="Y57" s="13">
        <v>56</v>
      </c>
      <c r="Z57" s="13" t="s">
        <v>101</v>
      </c>
      <c r="AA57" s="13">
        <v>2</v>
      </c>
      <c r="AB57" s="13">
        <v>2</v>
      </c>
      <c r="AC57" s="13">
        <v>2</v>
      </c>
      <c r="AD57" s="13">
        <f t="shared" si="0"/>
        <v>6</v>
      </c>
      <c r="AE57" s="13">
        <v>3</v>
      </c>
      <c r="AG57" s="6">
        <v>56</v>
      </c>
      <c r="AH57" s="2" t="s">
        <v>101</v>
      </c>
      <c r="AI57" s="6">
        <v>3</v>
      </c>
      <c r="AJ57" s="6">
        <v>7</v>
      </c>
      <c r="AK57" s="6">
        <v>2</v>
      </c>
      <c r="AL57" s="6">
        <v>2</v>
      </c>
      <c r="AM57" s="6">
        <v>2</v>
      </c>
      <c r="AN57">
        <f t="shared" si="1"/>
        <v>6</v>
      </c>
      <c r="AP57" s="6">
        <v>56</v>
      </c>
      <c r="AQ57" s="2"/>
      <c r="AR57" s="2" t="s">
        <v>101</v>
      </c>
      <c r="AS57" s="6">
        <v>3</v>
      </c>
      <c r="AT57" s="6">
        <v>7</v>
      </c>
      <c r="AU57" s="6">
        <v>2</v>
      </c>
      <c r="AV57" s="6">
        <v>2</v>
      </c>
      <c r="AW57" s="6">
        <v>2</v>
      </c>
      <c r="AX57">
        <f t="shared" si="2"/>
        <v>6</v>
      </c>
    </row>
    <row r="58" spans="1:50" x14ac:dyDescent="0.25">
      <c r="A58" t="s">
        <v>148</v>
      </c>
      <c r="B58" t="s">
        <v>113</v>
      </c>
      <c r="E58" t="s">
        <v>113</v>
      </c>
      <c r="F58" s="33">
        <v>57</v>
      </c>
      <c r="G58" s="34" t="s">
        <v>109</v>
      </c>
      <c r="H58" s="34" t="s">
        <v>32</v>
      </c>
      <c r="I58" s="34" t="s">
        <v>200</v>
      </c>
      <c r="J58" s="35">
        <f>'Skoring BK'!$E$5</f>
        <v>0.5</v>
      </c>
      <c r="K58" s="35">
        <f>'Skoring BK'!$F$5</f>
        <v>0.33333333333333331</v>
      </c>
      <c r="L58" s="35">
        <f>'Skoring BK'!$G$5</f>
        <v>0.16666666666666666</v>
      </c>
      <c r="N58" s="6">
        <v>57</v>
      </c>
      <c r="O58" s="6" t="s">
        <v>103</v>
      </c>
      <c r="P58" s="6">
        <v>3</v>
      </c>
      <c r="Q58" s="6">
        <v>7</v>
      </c>
      <c r="T58" s="6">
        <v>57</v>
      </c>
      <c r="U58" s="6" t="s">
        <v>103</v>
      </c>
      <c r="V58" s="6">
        <v>7</v>
      </c>
      <c r="Y58" s="13">
        <v>57</v>
      </c>
      <c r="Z58" s="13" t="s">
        <v>103</v>
      </c>
      <c r="AA58" s="13">
        <v>2</v>
      </c>
      <c r="AB58" s="13">
        <v>3</v>
      </c>
      <c r="AC58" s="13">
        <v>3</v>
      </c>
      <c r="AD58" s="13">
        <f t="shared" si="0"/>
        <v>8</v>
      </c>
      <c r="AE58" s="13">
        <v>3</v>
      </c>
      <c r="AG58" s="6">
        <v>57</v>
      </c>
      <c r="AH58" s="2" t="s">
        <v>103</v>
      </c>
      <c r="AI58" s="6">
        <v>2</v>
      </c>
      <c r="AJ58" s="6">
        <v>7</v>
      </c>
      <c r="AK58" s="6">
        <v>2</v>
      </c>
      <c r="AL58" s="6">
        <v>3</v>
      </c>
      <c r="AM58" s="6">
        <v>3</v>
      </c>
      <c r="AN58">
        <f t="shared" si="1"/>
        <v>8</v>
      </c>
      <c r="AP58" s="6">
        <v>57</v>
      </c>
      <c r="AQ58" s="2"/>
      <c r="AR58" s="2" t="s">
        <v>238</v>
      </c>
      <c r="AS58" s="6">
        <v>2</v>
      </c>
      <c r="AT58" s="6">
        <v>7</v>
      </c>
      <c r="AU58" s="6">
        <v>2</v>
      </c>
      <c r="AV58" s="6">
        <v>3</v>
      </c>
      <c r="AW58" s="6">
        <v>3</v>
      </c>
      <c r="AX58">
        <f t="shared" si="2"/>
        <v>8</v>
      </c>
    </row>
    <row r="59" spans="1:50" x14ac:dyDescent="0.25">
      <c r="A59" t="s">
        <v>156</v>
      </c>
      <c r="B59" t="s">
        <v>156</v>
      </c>
      <c r="E59" t="s">
        <v>156</v>
      </c>
      <c r="F59" s="33">
        <v>58</v>
      </c>
      <c r="G59" s="34" t="s">
        <v>150</v>
      </c>
      <c r="H59" s="34" t="s">
        <v>32</v>
      </c>
      <c r="I59" s="34" t="s">
        <v>200</v>
      </c>
      <c r="J59" s="35">
        <f>'Skoring BK'!$E$5</f>
        <v>0.5</v>
      </c>
      <c r="K59" s="35">
        <f>'Skoring BK'!$F$5</f>
        <v>0.33333333333333331</v>
      </c>
      <c r="L59" s="35">
        <f>'Skoring BK'!$G$5</f>
        <v>0.16666666666666666</v>
      </c>
      <c r="N59" s="6">
        <v>58</v>
      </c>
      <c r="O59" s="6" t="s">
        <v>195</v>
      </c>
      <c r="P59" s="6">
        <v>2</v>
      </c>
      <c r="Q59" s="6">
        <v>8</v>
      </c>
      <c r="T59" s="6">
        <v>58</v>
      </c>
      <c r="U59" s="6" t="s">
        <v>195</v>
      </c>
      <c r="V59" s="6">
        <v>8</v>
      </c>
      <c r="Y59" s="13">
        <v>58</v>
      </c>
      <c r="Z59" s="13" t="s">
        <v>195</v>
      </c>
      <c r="AA59" s="13">
        <v>2</v>
      </c>
      <c r="AB59" s="13">
        <v>3</v>
      </c>
      <c r="AC59" s="13">
        <v>2</v>
      </c>
      <c r="AD59" s="13">
        <f t="shared" si="0"/>
        <v>7</v>
      </c>
      <c r="AE59" s="13">
        <v>3</v>
      </c>
      <c r="AG59" s="6">
        <v>58</v>
      </c>
      <c r="AH59" s="2" t="s">
        <v>195</v>
      </c>
      <c r="AI59" s="6">
        <v>3</v>
      </c>
      <c r="AJ59" s="6">
        <v>8</v>
      </c>
      <c r="AK59" s="6">
        <v>2</v>
      </c>
      <c r="AL59" s="6">
        <v>3</v>
      </c>
      <c r="AM59" s="6">
        <v>2</v>
      </c>
      <c r="AN59">
        <f t="shared" si="1"/>
        <v>7</v>
      </c>
      <c r="AP59" s="6">
        <v>58</v>
      </c>
      <c r="AQ59" s="2"/>
      <c r="AR59" s="2"/>
      <c r="AS59" s="6"/>
      <c r="AT59" s="6"/>
      <c r="AU59" s="6"/>
      <c r="AV59" s="6"/>
      <c r="AW59" s="6"/>
    </row>
    <row r="60" spans="1:50" x14ac:dyDescent="0.25">
      <c r="A60" t="s">
        <v>79</v>
      </c>
      <c r="B60" t="s">
        <v>79</v>
      </c>
      <c r="E60" t="s">
        <v>79</v>
      </c>
      <c r="F60" s="33">
        <v>59</v>
      </c>
      <c r="G60" s="34" t="s">
        <v>160</v>
      </c>
      <c r="H60" s="34" t="s">
        <v>32</v>
      </c>
      <c r="I60" s="34" t="s">
        <v>200</v>
      </c>
      <c r="J60" s="35">
        <f>'Skoring BK'!$E$5</f>
        <v>0.5</v>
      </c>
      <c r="K60" s="35">
        <f>'Skoring BK'!$F$5</f>
        <v>0.33333333333333331</v>
      </c>
      <c r="L60" s="35">
        <f>'Skoring BK'!$G$5</f>
        <v>0.16666666666666666</v>
      </c>
      <c r="N60" s="6">
        <v>59</v>
      </c>
      <c r="O60" s="6" t="s">
        <v>94</v>
      </c>
      <c r="P60" s="6">
        <v>2</v>
      </c>
      <c r="Q60" s="6">
        <v>8</v>
      </c>
      <c r="T60" s="6">
        <v>59</v>
      </c>
      <c r="U60" s="6" t="s">
        <v>94</v>
      </c>
      <c r="V60" s="6">
        <v>8</v>
      </c>
      <c r="Y60" s="13">
        <v>59</v>
      </c>
      <c r="Z60" s="13" t="s">
        <v>94</v>
      </c>
      <c r="AA60" s="13">
        <v>2</v>
      </c>
      <c r="AB60" s="13">
        <v>2</v>
      </c>
      <c r="AC60" s="13">
        <v>2</v>
      </c>
      <c r="AD60" s="13">
        <f t="shared" si="0"/>
        <v>6</v>
      </c>
      <c r="AE60" s="13">
        <v>3</v>
      </c>
      <c r="AG60" s="6">
        <v>59</v>
      </c>
      <c r="AH60" s="2" t="s">
        <v>94</v>
      </c>
      <c r="AI60" s="6">
        <v>3</v>
      </c>
      <c r="AJ60" s="6">
        <v>8</v>
      </c>
      <c r="AK60" s="6">
        <v>2</v>
      </c>
      <c r="AL60" s="6">
        <v>2</v>
      </c>
      <c r="AM60" s="6">
        <v>2</v>
      </c>
      <c r="AN60">
        <f t="shared" si="1"/>
        <v>6</v>
      </c>
      <c r="AP60" s="6">
        <v>59</v>
      </c>
      <c r="AQ60" s="2"/>
      <c r="AR60" s="2" t="s">
        <v>94</v>
      </c>
      <c r="AS60" s="6">
        <v>3</v>
      </c>
      <c r="AT60" s="6">
        <v>7</v>
      </c>
      <c r="AU60" s="6">
        <v>2</v>
      </c>
      <c r="AV60" s="6">
        <v>2</v>
      </c>
      <c r="AW60" s="6">
        <v>2</v>
      </c>
      <c r="AX60">
        <f t="shared" si="2"/>
        <v>6</v>
      </c>
    </row>
    <row r="61" spans="1:50" x14ac:dyDescent="0.25">
      <c r="A61" t="s">
        <v>127</v>
      </c>
      <c r="B61" t="s">
        <v>127</v>
      </c>
      <c r="E61" t="s">
        <v>127</v>
      </c>
      <c r="F61" s="33">
        <v>60</v>
      </c>
      <c r="G61" s="34" t="s">
        <v>162</v>
      </c>
      <c r="H61" s="34" t="s">
        <v>32</v>
      </c>
      <c r="I61" s="34" t="s">
        <v>200</v>
      </c>
      <c r="J61" s="35">
        <f>'Skoring BK'!$E$5</f>
        <v>0.5</v>
      </c>
      <c r="K61" s="35">
        <f>'Skoring BK'!$F$5</f>
        <v>0.33333333333333331</v>
      </c>
      <c r="L61" s="35">
        <f>'Skoring BK'!$G$5</f>
        <v>0.16666666666666666</v>
      </c>
      <c r="N61" s="6">
        <v>60</v>
      </c>
      <c r="O61" s="6" t="s">
        <v>93</v>
      </c>
      <c r="P61" s="6">
        <v>2</v>
      </c>
      <c r="Q61" s="6">
        <v>8</v>
      </c>
      <c r="T61" s="6">
        <v>60</v>
      </c>
      <c r="U61" s="6" t="s">
        <v>93</v>
      </c>
      <c r="V61" s="6">
        <v>8</v>
      </c>
      <c r="Y61" s="13">
        <v>60</v>
      </c>
      <c r="Z61" s="13" t="s">
        <v>93</v>
      </c>
      <c r="AA61" s="13">
        <v>2</v>
      </c>
      <c r="AB61" s="13">
        <v>2</v>
      </c>
      <c r="AC61" s="13">
        <v>2</v>
      </c>
      <c r="AD61" s="13">
        <f t="shared" si="0"/>
        <v>6</v>
      </c>
      <c r="AE61" s="13">
        <v>3</v>
      </c>
      <c r="AG61" s="6">
        <v>60</v>
      </c>
      <c r="AH61" s="2" t="s">
        <v>93</v>
      </c>
      <c r="AI61" s="6">
        <v>2</v>
      </c>
      <c r="AJ61" s="6">
        <v>8</v>
      </c>
      <c r="AK61" s="6">
        <v>2</v>
      </c>
      <c r="AL61" s="6">
        <v>2</v>
      </c>
      <c r="AM61" s="6">
        <v>2</v>
      </c>
      <c r="AN61">
        <f t="shared" si="1"/>
        <v>6</v>
      </c>
      <c r="AP61" s="6">
        <v>60</v>
      </c>
      <c r="AQ61" s="2"/>
    </row>
    <row r="62" spans="1:50" x14ac:dyDescent="0.25">
      <c r="A62" t="s">
        <v>103</v>
      </c>
      <c r="B62" t="s">
        <v>103</v>
      </c>
      <c r="E62" t="s">
        <v>103</v>
      </c>
      <c r="F62" s="33">
        <v>61</v>
      </c>
      <c r="G62" s="34" t="s">
        <v>84</v>
      </c>
      <c r="H62" s="34" t="s">
        <v>32</v>
      </c>
      <c r="I62" s="34" t="s">
        <v>200</v>
      </c>
      <c r="J62" s="35">
        <f>'Skoring BK'!$E$5</f>
        <v>0.5</v>
      </c>
      <c r="K62" s="35">
        <f>'Skoring BK'!$F$5</f>
        <v>0.33333333333333331</v>
      </c>
      <c r="L62" s="35">
        <f>'Skoring BK'!$G$5</f>
        <v>0.16666666666666666</v>
      </c>
      <c r="N62" s="6">
        <v>61</v>
      </c>
      <c r="O62" s="6" t="s">
        <v>95</v>
      </c>
      <c r="P62" s="6">
        <v>2</v>
      </c>
      <c r="Q62" s="6">
        <v>8</v>
      </c>
      <c r="T62" s="6">
        <v>61</v>
      </c>
      <c r="U62" s="6" t="s">
        <v>95</v>
      </c>
      <c r="V62" s="6">
        <v>8</v>
      </c>
      <c r="Y62" s="13">
        <v>61</v>
      </c>
      <c r="Z62" s="13" t="s">
        <v>95</v>
      </c>
      <c r="AA62" s="13">
        <v>2</v>
      </c>
      <c r="AB62" s="13">
        <v>1</v>
      </c>
      <c r="AC62" s="13">
        <v>2</v>
      </c>
      <c r="AD62" s="13">
        <f t="shared" si="0"/>
        <v>5</v>
      </c>
      <c r="AE62" s="13">
        <v>2</v>
      </c>
      <c r="AG62" s="6">
        <v>61</v>
      </c>
      <c r="AH62" s="2" t="s">
        <v>95</v>
      </c>
      <c r="AI62" s="6">
        <v>3</v>
      </c>
      <c r="AJ62" s="6">
        <v>8</v>
      </c>
      <c r="AK62" s="6">
        <v>2</v>
      </c>
      <c r="AL62" s="6">
        <v>1</v>
      </c>
      <c r="AM62" s="6">
        <v>2</v>
      </c>
      <c r="AN62">
        <f t="shared" si="1"/>
        <v>5</v>
      </c>
      <c r="AP62" s="6">
        <v>61</v>
      </c>
      <c r="AQ62" s="2"/>
      <c r="AR62" s="2" t="s">
        <v>95</v>
      </c>
      <c r="AS62" s="6">
        <v>3</v>
      </c>
      <c r="AT62" s="6">
        <v>8</v>
      </c>
      <c r="AU62" s="6">
        <v>2</v>
      </c>
      <c r="AV62" s="6">
        <v>1</v>
      </c>
      <c r="AW62" s="6">
        <v>2</v>
      </c>
      <c r="AX62">
        <f t="shared" si="2"/>
        <v>5</v>
      </c>
    </row>
    <row r="63" spans="1:50" x14ac:dyDescent="0.25">
      <c r="A63" t="s">
        <v>122</v>
      </c>
      <c r="B63" t="s">
        <v>122</v>
      </c>
      <c r="E63" t="s">
        <v>122</v>
      </c>
      <c r="F63" s="33">
        <v>62</v>
      </c>
      <c r="G63" s="34" t="s">
        <v>119</v>
      </c>
      <c r="H63" s="34" t="s">
        <v>32</v>
      </c>
      <c r="I63" s="34" t="s">
        <v>200</v>
      </c>
      <c r="J63" s="35">
        <f>'Skoring BK'!$E$5</f>
        <v>0.5</v>
      </c>
      <c r="K63" s="35">
        <f>'Skoring BK'!$F$5</f>
        <v>0.33333333333333331</v>
      </c>
      <c r="L63" s="35">
        <f>'Skoring BK'!$G$5</f>
        <v>0.16666666666666666</v>
      </c>
      <c r="N63" s="6">
        <v>62</v>
      </c>
      <c r="O63" s="6" t="s">
        <v>91</v>
      </c>
      <c r="P63" s="6">
        <v>2</v>
      </c>
      <c r="Q63" s="6">
        <v>8</v>
      </c>
      <c r="T63" s="6">
        <v>62</v>
      </c>
      <c r="U63" s="6" t="s">
        <v>91</v>
      </c>
      <c r="V63" s="6">
        <v>8</v>
      </c>
      <c r="Y63" s="13">
        <v>62</v>
      </c>
      <c r="Z63" s="13" t="s">
        <v>91</v>
      </c>
      <c r="AA63" s="13">
        <v>3</v>
      </c>
      <c r="AB63" s="13">
        <v>2</v>
      </c>
      <c r="AC63" s="13">
        <v>2</v>
      </c>
      <c r="AD63" s="13">
        <f t="shared" si="0"/>
        <v>7</v>
      </c>
      <c r="AE63" s="13">
        <v>3</v>
      </c>
      <c r="AG63" s="6">
        <v>62</v>
      </c>
      <c r="AH63" s="2" t="s">
        <v>91</v>
      </c>
      <c r="AI63" s="6">
        <v>2</v>
      </c>
      <c r="AJ63" s="6">
        <v>8</v>
      </c>
      <c r="AK63" s="6">
        <v>3</v>
      </c>
      <c r="AL63" s="6">
        <v>2</v>
      </c>
      <c r="AM63" s="6">
        <v>2</v>
      </c>
      <c r="AN63">
        <f t="shared" si="1"/>
        <v>7</v>
      </c>
      <c r="AP63" s="6">
        <v>62</v>
      </c>
      <c r="AQ63" s="2"/>
      <c r="AR63" s="2" t="s">
        <v>91</v>
      </c>
      <c r="AS63" s="6">
        <v>2</v>
      </c>
      <c r="AT63" s="6">
        <v>8</v>
      </c>
      <c r="AU63" s="6">
        <v>3</v>
      </c>
      <c r="AV63" s="6">
        <v>2</v>
      </c>
      <c r="AW63" s="6">
        <v>2</v>
      </c>
      <c r="AX63">
        <f t="shared" si="2"/>
        <v>7</v>
      </c>
    </row>
    <row r="64" spans="1:50" x14ac:dyDescent="0.25">
      <c r="A64" t="s">
        <v>124</v>
      </c>
      <c r="B64" t="s">
        <v>124</v>
      </c>
      <c r="E64" t="s">
        <v>124</v>
      </c>
      <c r="F64" s="33">
        <v>63</v>
      </c>
      <c r="G64" s="34" t="s">
        <v>77</v>
      </c>
      <c r="H64" s="34" t="s">
        <v>32</v>
      </c>
      <c r="I64" s="34" t="s">
        <v>200</v>
      </c>
      <c r="J64" s="35">
        <f>'Skoring BK'!$E$5</f>
        <v>0.5</v>
      </c>
      <c r="K64" s="35">
        <f>'Skoring BK'!$F$5</f>
        <v>0.33333333333333331</v>
      </c>
      <c r="L64" s="35">
        <f>'Skoring BK'!$G$5</f>
        <v>0.16666666666666666</v>
      </c>
      <c r="N64" s="6">
        <v>63</v>
      </c>
      <c r="O64" s="6" t="s">
        <v>112</v>
      </c>
      <c r="P64" s="6">
        <v>2</v>
      </c>
      <c r="Q64" s="6">
        <v>8</v>
      </c>
      <c r="T64" s="6">
        <v>63</v>
      </c>
      <c r="U64" s="6" t="s">
        <v>112</v>
      </c>
      <c r="V64" s="6">
        <v>8</v>
      </c>
      <c r="Y64" s="13">
        <v>63</v>
      </c>
      <c r="Z64" s="13" t="s">
        <v>112</v>
      </c>
      <c r="AA64" s="13">
        <v>2</v>
      </c>
      <c r="AB64" s="13">
        <v>3</v>
      </c>
      <c r="AC64" s="13">
        <v>3</v>
      </c>
      <c r="AD64" s="13">
        <f t="shared" si="0"/>
        <v>8</v>
      </c>
      <c r="AE64" s="13">
        <v>2</v>
      </c>
      <c r="AG64" s="6">
        <v>63</v>
      </c>
      <c r="AH64" s="2" t="s">
        <v>112</v>
      </c>
      <c r="AI64" s="6">
        <v>2</v>
      </c>
      <c r="AJ64" s="6">
        <v>8</v>
      </c>
      <c r="AK64" s="6">
        <v>2</v>
      </c>
      <c r="AL64" s="6">
        <v>3</v>
      </c>
      <c r="AM64" s="6">
        <v>3</v>
      </c>
      <c r="AN64">
        <f t="shared" si="1"/>
        <v>8</v>
      </c>
      <c r="AP64" s="6">
        <v>63</v>
      </c>
      <c r="AQ64" s="2"/>
      <c r="AR64" s="2" t="s">
        <v>236</v>
      </c>
      <c r="AS64" s="6">
        <v>2</v>
      </c>
      <c r="AT64" s="6">
        <v>8</v>
      </c>
      <c r="AU64" s="6">
        <v>2</v>
      </c>
      <c r="AV64" s="6">
        <v>3</v>
      </c>
      <c r="AW64" s="6">
        <v>3</v>
      </c>
      <c r="AX64">
        <f t="shared" si="2"/>
        <v>8</v>
      </c>
    </row>
    <row r="65" spans="1:50" x14ac:dyDescent="0.25">
      <c r="A65" t="s">
        <v>121</v>
      </c>
      <c r="B65" t="s">
        <v>121</v>
      </c>
      <c r="E65" t="s">
        <v>121</v>
      </c>
      <c r="F65" s="33">
        <v>64</v>
      </c>
      <c r="G65" s="34" t="s">
        <v>143</v>
      </c>
      <c r="H65" s="34" t="s">
        <v>32</v>
      </c>
      <c r="I65" s="34" t="s">
        <v>209</v>
      </c>
      <c r="J65" s="35">
        <f>'Skoring BK'!$E$5</f>
        <v>0.5</v>
      </c>
      <c r="K65" s="35">
        <f>'Skoring BK'!$F$5</f>
        <v>0.33333333333333331</v>
      </c>
      <c r="L65" s="35">
        <f>'Skoring BK'!$G$5</f>
        <v>0.16666666666666666</v>
      </c>
      <c r="N65" s="6">
        <v>64</v>
      </c>
      <c r="O65" s="6" t="s">
        <v>113</v>
      </c>
      <c r="P65" s="6">
        <v>6</v>
      </c>
      <c r="Q65" s="6">
        <v>8</v>
      </c>
      <c r="T65" s="6">
        <v>64</v>
      </c>
      <c r="U65" s="6" t="s">
        <v>113</v>
      </c>
      <c r="V65" s="6">
        <v>8</v>
      </c>
      <c r="Y65" s="13">
        <v>64</v>
      </c>
      <c r="Z65" s="13" t="s">
        <v>113</v>
      </c>
      <c r="AA65" s="13">
        <v>3</v>
      </c>
      <c r="AB65" s="13">
        <v>3</v>
      </c>
      <c r="AC65" s="13">
        <v>3</v>
      </c>
      <c r="AD65" s="13">
        <f t="shared" si="0"/>
        <v>9</v>
      </c>
      <c r="AE65" s="13">
        <v>6</v>
      </c>
      <c r="AG65" s="6">
        <v>64</v>
      </c>
      <c r="AH65" s="2" t="s">
        <v>113</v>
      </c>
      <c r="AI65" s="6">
        <v>6</v>
      </c>
      <c r="AJ65" s="6">
        <v>8</v>
      </c>
      <c r="AK65" s="6">
        <v>3</v>
      </c>
      <c r="AL65" s="6">
        <v>3</v>
      </c>
      <c r="AM65" s="6">
        <v>3</v>
      </c>
      <c r="AN65">
        <f t="shared" si="1"/>
        <v>9</v>
      </c>
      <c r="AP65" s="6">
        <v>64</v>
      </c>
      <c r="AQ65" s="2"/>
      <c r="AR65" s="2" t="s">
        <v>113</v>
      </c>
      <c r="AS65" s="6">
        <v>6</v>
      </c>
      <c r="AT65" s="6">
        <v>8</v>
      </c>
      <c r="AU65" s="6">
        <v>3</v>
      </c>
      <c r="AV65" s="6">
        <v>3</v>
      </c>
      <c r="AW65" s="6">
        <v>3</v>
      </c>
      <c r="AX65">
        <f t="shared" si="2"/>
        <v>9</v>
      </c>
    </row>
    <row r="66" spans="1:50" x14ac:dyDescent="0.25">
      <c r="A66" t="s">
        <v>123</v>
      </c>
      <c r="B66" t="s">
        <v>123</v>
      </c>
      <c r="E66" t="s">
        <v>123</v>
      </c>
      <c r="F66" s="33">
        <v>65</v>
      </c>
      <c r="G66" s="34" t="s">
        <v>97</v>
      </c>
      <c r="H66" s="36" t="s">
        <v>199</v>
      </c>
      <c r="I66" s="34"/>
      <c r="J66" s="33"/>
      <c r="K66" s="33"/>
      <c r="L66" s="33"/>
      <c r="N66" s="6">
        <v>65</v>
      </c>
      <c r="O66" s="6" t="s">
        <v>139</v>
      </c>
      <c r="P66" s="6">
        <v>2</v>
      </c>
      <c r="Q66" s="6">
        <v>8</v>
      </c>
      <c r="T66" s="6">
        <v>65</v>
      </c>
      <c r="U66" s="6" t="s">
        <v>139</v>
      </c>
      <c r="V66" s="6">
        <v>8</v>
      </c>
      <c r="Y66" s="13">
        <v>65</v>
      </c>
      <c r="Z66" s="13" t="s">
        <v>139</v>
      </c>
      <c r="AA66" s="13">
        <v>2</v>
      </c>
      <c r="AB66" s="13">
        <v>2</v>
      </c>
      <c r="AC66" s="13">
        <v>2</v>
      </c>
      <c r="AD66" s="13">
        <f t="shared" si="0"/>
        <v>6</v>
      </c>
      <c r="AE66" s="13">
        <v>3</v>
      </c>
      <c r="AG66" s="6">
        <v>65</v>
      </c>
      <c r="AH66" s="2" t="s">
        <v>139</v>
      </c>
      <c r="AI66" s="6">
        <v>3</v>
      </c>
      <c r="AJ66" s="6">
        <v>8</v>
      </c>
      <c r="AK66" s="6">
        <v>2</v>
      </c>
      <c r="AL66" s="6">
        <v>2</v>
      </c>
      <c r="AM66" s="6">
        <v>1</v>
      </c>
      <c r="AN66">
        <f t="shared" si="1"/>
        <v>5</v>
      </c>
      <c r="AP66" s="6">
        <v>65</v>
      </c>
      <c r="AQ66" s="2"/>
      <c r="AR66" s="2"/>
      <c r="AS66" s="6"/>
      <c r="AT66" s="6"/>
      <c r="AU66" s="6"/>
      <c r="AV66" s="6"/>
      <c r="AW66" s="6"/>
    </row>
    <row r="67" spans="1:50" x14ac:dyDescent="0.25">
      <c r="A67" t="s">
        <v>91</v>
      </c>
      <c r="B67" t="s">
        <v>91</v>
      </c>
      <c r="E67" t="s">
        <v>91</v>
      </c>
      <c r="F67" s="33">
        <v>66</v>
      </c>
      <c r="G67" s="34" t="s">
        <v>91</v>
      </c>
      <c r="H67" s="34" t="s">
        <v>54</v>
      </c>
      <c r="I67" s="36"/>
      <c r="J67" s="35">
        <f>'Skoring BK'!$E$8</f>
        <v>0.33333333333333331</v>
      </c>
      <c r="K67" s="35">
        <f>'Skoring BK'!$F$8</f>
        <v>0.16666666666666666</v>
      </c>
      <c r="L67" s="35">
        <f>'Skoring BK'!$G$8</f>
        <v>0.5</v>
      </c>
      <c r="N67" s="6">
        <v>66</v>
      </c>
      <c r="O67" s="6" t="s">
        <v>140</v>
      </c>
      <c r="P67" s="6">
        <v>2</v>
      </c>
      <c r="Q67" s="6">
        <v>8</v>
      </c>
      <c r="T67" s="6">
        <v>66</v>
      </c>
      <c r="U67" s="6" t="s">
        <v>140</v>
      </c>
      <c r="V67" s="6">
        <v>8</v>
      </c>
      <c r="Y67" s="13">
        <v>66</v>
      </c>
      <c r="Z67" s="13" t="s">
        <v>140</v>
      </c>
      <c r="AA67" s="13">
        <v>2</v>
      </c>
      <c r="AB67" s="13">
        <v>2</v>
      </c>
      <c r="AC67" s="13">
        <v>2</v>
      </c>
      <c r="AD67" s="13">
        <f t="shared" ref="AD67" si="3">SUM(AA67:AC67)</f>
        <v>6</v>
      </c>
      <c r="AE67" s="13">
        <v>3</v>
      </c>
      <c r="AG67" s="6">
        <v>66</v>
      </c>
      <c r="AH67" s="2" t="s">
        <v>140</v>
      </c>
      <c r="AI67" s="6">
        <v>3</v>
      </c>
      <c r="AJ67" s="6">
        <v>8</v>
      </c>
      <c r="AK67" s="6">
        <v>2</v>
      </c>
      <c r="AL67" s="6">
        <v>2</v>
      </c>
      <c r="AM67" s="6">
        <v>1</v>
      </c>
      <c r="AN67">
        <f t="shared" ref="AN67" si="4">SUM(AK67:AM67)</f>
        <v>5</v>
      </c>
      <c r="AP67" s="6">
        <v>66</v>
      </c>
      <c r="AQ67" s="2"/>
      <c r="AR67" s="2"/>
      <c r="AS67" s="6"/>
      <c r="AT67" s="6"/>
      <c r="AU67" s="6"/>
      <c r="AV67" s="6"/>
      <c r="AW67" s="6"/>
    </row>
    <row r="68" spans="1:50" x14ac:dyDescent="0.25">
      <c r="AE68">
        <f>SUM(AE2:AE67)</f>
        <v>185</v>
      </c>
      <c r="AI68">
        <f>SUM(AI2:AI67)</f>
        <v>170</v>
      </c>
      <c r="AK68">
        <f>SUM(AK2:AK67)</f>
        <v>140</v>
      </c>
      <c r="AL68">
        <f t="shared" ref="AL68:AM68" si="5">SUM(AL2:AL67)</f>
        <v>139</v>
      </c>
      <c r="AM68">
        <f t="shared" si="5"/>
        <v>133</v>
      </c>
      <c r="AN68">
        <f>SUM(AN2:AN67)</f>
        <v>412</v>
      </c>
      <c r="AS68">
        <f t="shared" ref="AS68:AW68" si="6">SUM(AS2:AS67)</f>
        <v>144</v>
      </c>
      <c r="AT68">
        <f t="shared" si="6"/>
        <v>233</v>
      </c>
      <c r="AU68">
        <f t="shared" si="6"/>
        <v>118</v>
      </c>
      <c r="AV68">
        <f t="shared" si="6"/>
        <v>111</v>
      </c>
      <c r="AW68">
        <f t="shared" si="6"/>
        <v>115</v>
      </c>
      <c r="AX68">
        <f>SUM(AX2:AX67)</f>
        <v>344</v>
      </c>
    </row>
    <row r="69" spans="1:50" x14ac:dyDescent="0.25">
      <c r="AK69" s="37">
        <f>AK68/$AN$68</f>
        <v>0.33980582524271846</v>
      </c>
      <c r="AL69" s="37">
        <f t="shared" ref="AL69:AM69" si="7">AL68/$AN$68</f>
        <v>0.33737864077669905</v>
      </c>
      <c r="AM69" s="37">
        <f t="shared" si="7"/>
        <v>0.32281553398058255</v>
      </c>
      <c r="AU69" s="37">
        <f>AU68/$AX$68</f>
        <v>0.34302325581395349</v>
      </c>
      <c r="AV69" s="37">
        <f t="shared" ref="AV69:AW69" si="8">AV68/$AX$68</f>
        <v>0.32267441860465118</v>
      </c>
      <c r="AW69" s="37">
        <f t="shared" si="8"/>
        <v>0.33430232558139533</v>
      </c>
    </row>
  </sheetData>
  <autoFilter ref="AG1:AN69" xr:uid="{695AEFE6-5F53-41E4-B5D7-68B1D86BF988}"/>
  <sortState xmlns:xlrd2="http://schemas.microsoft.com/office/spreadsheetml/2017/richdata2" ref="F2:L67">
    <sortCondition ref="F2:F67"/>
  </sortState>
  <pageMargins left="0.7" right="0.7" top="0.75" bottom="0.75" header="0.3" footer="0.3"/>
  <ignoredErrors>
    <ignoredError sqref="AN2 AN3:AN30 AN31:AN67 AX2:AX17 AX60 AX19:AX22 AX62:AX65 AX24:AX58" formulaRange="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3AF3-D810-44DE-8710-486A96C43B48}">
  <dimension ref="A1:Q57"/>
  <sheetViews>
    <sheetView topLeftCell="D1" workbookViewId="0">
      <selection activeCell="K52" sqref="K52"/>
    </sheetView>
  </sheetViews>
  <sheetFormatPr defaultRowHeight="15" x14ac:dyDescent="0.25"/>
  <cols>
    <col min="1" max="1" width="3.85546875" style="85" bestFit="1" customWidth="1"/>
    <col min="2" max="2" width="28.5703125" style="85" bestFit="1" customWidth="1"/>
    <col min="3" max="3" width="32.7109375" style="85" bestFit="1" customWidth="1"/>
    <col min="4" max="4" width="14.140625" style="85" bestFit="1" customWidth="1"/>
    <col min="5" max="5" width="20.140625" style="85" bestFit="1" customWidth="1"/>
    <col min="6" max="6" width="11" style="85" bestFit="1" customWidth="1"/>
    <col min="7" max="7" width="17.28515625" style="85" bestFit="1" customWidth="1"/>
    <col min="8" max="8" width="42.42578125" style="85" bestFit="1" customWidth="1"/>
    <col min="9" max="9" width="9.140625" style="85"/>
    <col min="10" max="10" width="3.5703125" style="85" bestFit="1" customWidth="1"/>
    <col min="11" max="11" width="33.5703125" style="92" bestFit="1" customWidth="1"/>
    <col min="12" max="12" width="19.5703125" style="92" bestFit="1" customWidth="1"/>
    <col min="13" max="13" width="5.7109375" style="85" bestFit="1" customWidth="1"/>
    <col min="14" max="14" width="6.28515625" style="85" bestFit="1" customWidth="1"/>
    <col min="15" max="15" width="8.85546875" style="85" bestFit="1" customWidth="1"/>
    <col min="16" max="16" width="8.5703125" style="85" bestFit="1" customWidth="1"/>
    <col min="17" max="17" width="23.85546875" style="92" bestFit="1" customWidth="1"/>
    <col min="18" max="16384" width="9.140625" style="85"/>
  </cols>
  <sheetData>
    <row r="1" spans="1:17" ht="15.75" x14ac:dyDescent="0.25">
      <c r="A1" s="86" t="s">
        <v>165</v>
      </c>
      <c r="B1" s="87" t="s">
        <v>398</v>
      </c>
      <c r="C1" s="87" t="s">
        <v>399</v>
      </c>
      <c r="D1" s="87" t="s">
        <v>400</v>
      </c>
      <c r="E1" s="87" t="s">
        <v>401</v>
      </c>
      <c r="F1" s="87" t="s">
        <v>402</v>
      </c>
      <c r="G1" s="87" t="s">
        <v>403</v>
      </c>
      <c r="H1" s="87" t="s">
        <v>404</v>
      </c>
      <c r="J1" s="7" t="s">
        <v>165</v>
      </c>
      <c r="K1" s="1" t="s">
        <v>75</v>
      </c>
      <c r="L1" s="1" t="s">
        <v>410</v>
      </c>
      <c r="M1" s="7" t="s">
        <v>114</v>
      </c>
      <c r="N1" s="7" t="s">
        <v>222</v>
      </c>
      <c r="O1" s="7" t="s">
        <v>340</v>
      </c>
      <c r="P1" s="7" t="s">
        <v>344</v>
      </c>
      <c r="Q1" s="1" t="s">
        <v>411</v>
      </c>
    </row>
    <row r="2" spans="1:17" ht="15.75" x14ac:dyDescent="0.25">
      <c r="A2" s="86">
        <v>1</v>
      </c>
      <c r="B2" s="87"/>
      <c r="C2" s="88" t="s">
        <v>119</v>
      </c>
      <c r="D2" s="89"/>
      <c r="E2" s="87"/>
      <c r="F2" s="87"/>
      <c r="G2" s="87"/>
      <c r="H2" s="87"/>
      <c r="J2" s="6">
        <v>1</v>
      </c>
      <c r="K2" s="2" t="s">
        <v>119</v>
      </c>
      <c r="L2" s="2" t="s">
        <v>412</v>
      </c>
      <c r="M2" s="6" t="s">
        <v>200</v>
      </c>
      <c r="N2" s="6" t="s">
        <v>15</v>
      </c>
      <c r="O2" s="6" t="s">
        <v>57</v>
      </c>
      <c r="P2" s="6" t="s">
        <v>39</v>
      </c>
      <c r="Q2" s="3" t="s">
        <v>454</v>
      </c>
    </row>
    <row r="3" spans="1:17" ht="15.75" x14ac:dyDescent="0.25">
      <c r="A3" s="86">
        <v>2</v>
      </c>
      <c r="B3" s="87"/>
      <c r="C3" s="88" t="s">
        <v>120</v>
      </c>
      <c r="D3" s="89"/>
      <c r="E3" s="87"/>
      <c r="F3" s="87"/>
      <c r="G3" s="87"/>
      <c r="H3" s="87"/>
      <c r="J3" s="6">
        <v>2</v>
      </c>
      <c r="K3" s="2" t="s">
        <v>120</v>
      </c>
      <c r="L3" s="2" t="s">
        <v>412</v>
      </c>
      <c r="M3" s="6" t="s">
        <v>200</v>
      </c>
      <c r="N3" s="6" t="s">
        <v>15</v>
      </c>
      <c r="O3" s="6" t="s">
        <v>57</v>
      </c>
      <c r="P3" s="6" t="s">
        <v>39</v>
      </c>
      <c r="Q3" s="3" t="s">
        <v>454</v>
      </c>
    </row>
    <row r="4" spans="1:17" ht="15.75" x14ac:dyDescent="0.25">
      <c r="A4" s="86">
        <v>3</v>
      </c>
      <c r="B4" s="87"/>
      <c r="C4" s="88" t="s">
        <v>154</v>
      </c>
      <c r="D4" s="87"/>
      <c r="E4" s="87"/>
      <c r="F4" s="87"/>
      <c r="G4" s="87"/>
      <c r="H4" s="87"/>
      <c r="J4" s="6">
        <v>3</v>
      </c>
      <c r="K4" s="2" t="s">
        <v>154</v>
      </c>
      <c r="L4" s="2" t="s">
        <v>412</v>
      </c>
      <c r="M4" s="6" t="s">
        <v>405</v>
      </c>
      <c r="N4" s="6" t="s">
        <v>15</v>
      </c>
      <c r="O4" s="6" t="s">
        <v>57</v>
      </c>
      <c r="P4" s="6" t="s">
        <v>200</v>
      </c>
      <c r="Q4" s="3" t="s">
        <v>454</v>
      </c>
    </row>
    <row r="5" spans="1:17" ht="15.75" x14ac:dyDescent="0.25">
      <c r="A5" s="86">
        <v>4</v>
      </c>
      <c r="B5" s="87"/>
      <c r="C5" s="88" t="s">
        <v>78</v>
      </c>
      <c r="D5" s="87"/>
      <c r="E5" s="87"/>
      <c r="F5" s="87"/>
      <c r="G5" s="87"/>
      <c r="H5" s="87"/>
      <c r="J5" s="6">
        <v>4</v>
      </c>
      <c r="K5" s="2" t="s">
        <v>78</v>
      </c>
      <c r="L5" s="2" t="s">
        <v>207</v>
      </c>
      <c r="M5" s="6" t="s">
        <v>200</v>
      </c>
      <c r="N5" s="6" t="s">
        <v>21</v>
      </c>
      <c r="O5" s="6" t="s">
        <v>57</v>
      </c>
      <c r="P5" s="6" t="s">
        <v>39</v>
      </c>
      <c r="Q5" s="3" t="s">
        <v>454</v>
      </c>
    </row>
    <row r="6" spans="1:17" ht="15.75" x14ac:dyDescent="0.25">
      <c r="A6" s="86">
        <v>5</v>
      </c>
      <c r="B6" s="87"/>
      <c r="C6" s="88" t="s">
        <v>111</v>
      </c>
      <c r="D6" s="89"/>
      <c r="E6" s="87"/>
      <c r="F6" s="87"/>
      <c r="G6" s="87"/>
      <c r="H6" s="87"/>
      <c r="J6" s="6">
        <v>5</v>
      </c>
      <c r="K6" s="2" t="s">
        <v>111</v>
      </c>
      <c r="L6" s="2" t="s">
        <v>108</v>
      </c>
      <c r="M6" s="6" t="s">
        <v>409</v>
      </c>
      <c r="N6" s="6" t="s">
        <v>15</v>
      </c>
      <c r="O6" s="6" t="s">
        <v>61</v>
      </c>
      <c r="P6" s="6" t="s">
        <v>200</v>
      </c>
      <c r="Q6" s="3" t="s">
        <v>454</v>
      </c>
    </row>
    <row r="7" spans="1:17" ht="15.75" x14ac:dyDescent="0.25">
      <c r="A7" s="86">
        <v>6</v>
      </c>
      <c r="B7" s="87"/>
      <c r="C7" s="88" t="s">
        <v>250</v>
      </c>
      <c r="D7" s="89"/>
      <c r="E7" s="87"/>
      <c r="F7" s="87"/>
      <c r="G7" s="87"/>
      <c r="H7" s="87"/>
      <c r="J7" s="6">
        <v>6</v>
      </c>
      <c r="K7" s="2" t="s">
        <v>250</v>
      </c>
      <c r="L7" s="2" t="s">
        <v>414</v>
      </c>
      <c r="M7" s="6" t="s">
        <v>415</v>
      </c>
      <c r="N7" s="6" t="s">
        <v>35</v>
      </c>
      <c r="O7" s="6" t="s">
        <v>200</v>
      </c>
      <c r="P7" s="6" t="s">
        <v>200</v>
      </c>
      <c r="Q7" s="3" t="s">
        <v>454</v>
      </c>
    </row>
    <row r="8" spans="1:17" ht="15.75" x14ac:dyDescent="0.25">
      <c r="A8" s="86">
        <v>7</v>
      </c>
      <c r="B8" s="87"/>
      <c r="C8" s="88" t="s">
        <v>251</v>
      </c>
      <c r="D8" s="89"/>
      <c r="E8" s="87"/>
      <c r="F8" s="87"/>
      <c r="G8" s="87"/>
      <c r="H8" s="87"/>
      <c r="J8" s="6">
        <v>7</v>
      </c>
      <c r="K8" s="2" t="s">
        <v>211</v>
      </c>
      <c r="L8" s="2" t="s">
        <v>416</v>
      </c>
      <c r="M8" s="6" t="s">
        <v>417</v>
      </c>
      <c r="N8" s="6" t="s">
        <v>15</v>
      </c>
      <c r="O8" s="6" t="s">
        <v>61</v>
      </c>
      <c r="P8" s="6" t="s">
        <v>200</v>
      </c>
      <c r="Q8" s="3" t="s">
        <v>454</v>
      </c>
    </row>
    <row r="9" spans="1:17" ht="15.75" x14ac:dyDescent="0.25">
      <c r="A9" s="86">
        <v>8</v>
      </c>
      <c r="B9" s="87"/>
      <c r="C9" s="88" t="s">
        <v>150</v>
      </c>
      <c r="D9" s="87"/>
      <c r="E9" s="87"/>
      <c r="F9" s="87"/>
      <c r="G9" s="87"/>
      <c r="H9" s="87"/>
      <c r="J9" s="6">
        <v>8</v>
      </c>
      <c r="K9" s="2" t="s">
        <v>150</v>
      </c>
      <c r="L9" s="2" t="s">
        <v>416</v>
      </c>
      <c r="M9" s="6" t="s">
        <v>408</v>
      </c>
      <c r="N9" s="6" t="s">
        <v>15</v>
      </c>
      <c r="O9" s="6" t="s">
        <v>61</v>
      </c>
      <c r="P9" s="6" t="s">
        <v>200</v>
      </c>
      <c r="Q9" s="3" t="s">
        <v>454</v>
      </c>
    </row>
    <row r="10" spans="1:17" ht="15.75" x14ac:dyDescent="0.25">
      <c r="A10" s="86">
        <v>9</v>
      </c>
      <c r="B10" s="87"/>
      <c r="C10" s="88" t="s">
        <v>252</v>
      </c>
      <c r="D10" s="89"/>
      <c r="E10" s="87"/>
      <c r="F10" s="87"/>
      <c r="G10" s="87"/>
      <c r="H10" s="87"/>
      <c r="J10" s="6">
        <v>9</v>
      </c>
      <c r="K10" s="2" t="s">
        <v>252</v>
      </c>
      <c r="L10" s="2" t="s">
        <v>414</v>
      </c>
      <c r="M10" s="6" t="s">
        <v>418</v>
      </c>
      <c r="N10" s="6" t="s">
        <v>35</v>
      </c>
      <c r="O10" s="6" t="s">
        <v>200</v>
      </c>
      <c r="P10" s="6" t="s">
        <v>200</v>
      </c>
      <c r="Q10" s="3" t="s">
        <v>455</v>
      </c>
    </row>
    <row r="11" spans="1:17" ht="15.75" x14ac:dyDescent="0.25">
      <c r="A11" s="86">
        <v>10</v>
      </c>
      <c r="B11" s="87"/>
      <c r="C11" s="88" t="s">
        <v>79</v>
      </c>
      <c r="D11" s="87"/>
      <c r="E11" s="87"/>
      <c r="F11" s="87"/>
      <c r="G11" s="87"/>
      <c r="H11" s="87"/>
      <c r="J11" s="6">
        <v>10</v>
      </c>
      <c r="K11" s="2" t="s">
        <v>79</v>
      </c>
      <c r="L11" s="2" t="s">
        <v>207</v>
      </c>
      <c r="M11" s="6" t="s">
        <v>200</v>
      </c>
      <c r="N11" s="6" t="s">
        <v>21</v>
      </c>
      <c r="O11" s="6" t="s">
        <v>64</v>
      </c>
      <c r="P11" s="6" t="s">
        <v>39</v>
      </c>
      <c r="Q11" s="3" t="s">
        <v>454</v>
      </c>
    </row>
    <row r="12" spans="1:17" ht="15.75" x14ac:dyDescent="0.25">
      <c r="A12" s="86">
        <v>11</v>
      </c>
      <c r="B12" s="87"/>
      <c r="C12" s="88" t="s">
        <v>152</v>
      </c>
      <c r="D12" s="87"/>
      <c r="E12" s="89"/>
      <c r="F12" s="87"/>
      <c r="G12" s="89"/>
      <c r="H12" s="87"/>
      <c r="J12" s="6">
        <v>11</v>
      </c>
      <c r="K12" s="2" t="s">
        <v>152</v>
      </c>
      <c r="L12" s="2" t="s">
        <v>420</v>
      </c>
      <c r="M12" s="6" t="s">
        <v>200</v>
      </c>
      <c r="N12" s="6" t="s">
        <v>15</v>
      </c>
      <c r="O12" s="6" t="s">
        <v>57</v>
      </c>
      <c r="P12" s="6" t="s">
        <v>200</v>
      </c>
      <c r="Q12" s="3" t="s">
        <v>454</v>
      </c>
    </row>
    <row r="13" spans="1:17" ht="15.75" x14ac:dyDescent="0.25">
      <c r="A13" s="86">
        <v>12</v>
      </c>
      <c r="B13" s="87"/>
      <c r="C13" s="88" t="s">
        <v>157</v>
      </c>
      <c r="D13" s="87"/>
      <c r="E13" s="87"/>
      <c r="F13" s="87"/>
      <c r="G13" s="87"/>
      <c r="H13" s="87"/>
      <c r="J13" s="6">
        <v>12</v>
      </c>
      <c r="K13" s="2" t="s">
        <v>157</v>
      </c>
      <c r="L13" s="2" t="s">
        <v>421</v>
      </c>
      <c r="M13" s="6" t="s">
        <v>409</v>
      </c>
      <c r="N13" s="6" t="s">
        <v>15</v>
      </c>
      <c r="O13" s="6" t="s">
        <v>61</v>
      </c>
      <c r="P13" s="6" t="s">
        <v>200</v>
      </c>
      <c r="Q13" s="3" t="s">
        <v>454</v>
      </c>
    </row>
    <row r="14" spans="1:17" ht="15.75" x14ac:dyDescent="0.25">
      <c r="A14" s="86">
        <v>13</v>
      </c>
      <c r="B14" s="87"/>
      <c r="C14" s="88" t="s">
        <v>126</v>
      </c>
      <c r="D14" s="87"/>
      <c r="E14" s="87"/>
      <c r="F14" s="89"/>
      <c r="G14" s="87"/>
      <c r="H14" s="87"/>
      <c r="J14" s="6">
        <v>13</v>
      </c>
      <c r="K14" s="2" t="s">
        <v>126</v>
      </c>
      <c r="L14" s="2" t="s">
        <v>207</v>
      </c>
      <c r="M14" s="6" t="s">
        <v>200</v>
      </c>
      <c r="N14" s="6" t="s">
        <v>21</v>
      </c>
      <c r="O14" s="6" t="s">
        <v>64</v>
      </c>
      <c r="P14" s="6" t="s">
        <v>39</v>
      </c>
      <c r="Q14" s="3" t="s">
        <v>455</v>
      </c>
    </row>
    <row r="15" spans="1:17" ht="15.75" x14ac:dyDescent="0.25">
      <c r="A15" s="86">
        <v>14</v>
      </c>
      <c r="B15" s="87"/>
      <c r="C15" s="88" t="s">
        <v>158</v>
      </c>
      <c r="D15" s="87"/>
      <c r="E15" s="87"/>
      <c r="F15" s="87"/>
      <c r="G15" s="89"/>
      <c r="H15" s="87"/>
      <c r="J15" s="6">
        <v>14</v>
      </c>
      <c r="K15" s="2" t="s">
        <v>158</v>
      </c>
      <c r="L15" s="2" t="s">
        <v>421</v>
      </c>
      <c r="M15" s="6" t="s">
        <v>409</v>
      </c>
      <c r="N15" s="6" t="s">
        <v>200</v>
      </c>
      <c r="O15" s="6" t="s">
        <v>61</v>
      </c>
      <c r="P15" s="6" t="s">
        <v>200</v>
      </c>
      <c r="Q15" s="3" t="s">
        <v>455</v>
      </c>
    </row>
    <row r="16" spans="1:17" ht="15.75" x14ac:dyDescent="0.25">
      <c r="A16" s="86">
        <v>15</v>
      </c>
      <c r="B16" s="87"/>
      <c r="C16" s="88" t="s">
        <v>253</v>
      </c>
      <c r="D16" s="87"/>
      <c r="E16" s="87"/>
      <c r="F16" s="89"/>
      <c r="G16" s="89"/>
      <c r="H16" s="87"/>
      <c r="J16" s="6">
        <v>15</v>
      </c>
      <c r="K16" s="2" t="s">
        <v>422</v>
      </c>
      <c r="L16" s="2" t="s">
        <v>89</v>
      </c>
      <c r="M16" s="6" t="s">
        <v>423</v>
      </c>
      <c r="N16" s="6" t="s">
        <v>35</v>
      </c>
      <c r="O16" s="6" t="s">
        <v>57</v>
      </c>
      <c r="P16" s="6" t="s">
        <v>43</v>
      </c>
      <c r="Q16" s="3" t="s">
        <v>455</v>
      </c>
    </row>
    <row r="17" spans="1:17" ht="15.75" x14ac:dyDescent="0.25">
      <c r="A17" s="86">
        <v>16</v>
      </c>
      <c r="B17" s="87"/>
      <c r="C17" s="88" t="s">
        <v>121</v>
      </c>
      <c r="D17" s="87"/>
      <c r="E17" s="89"/>
      <c r="F17" s="87"/>
      <c r="G17" s="89"/>
      <c r="H17" s="87"/>
      <c r="J17" s="6">
        <v>16</v>
      </c>
      <c r="K17" s="2" t="s">
        <v>424</v>
      </c>
      <c r="L17" s="2" t="s">
        <v>412</v>
      </c>
      <c r="M17" s="6" t="s">
        <v>200</v>
      </c>
      <c r="N17" s="6" t="s">
        <v>15</v>
      </c>
      <c r="O17" s="6" t="s">
        <v>57</v>
      </c>
      <c r="P17" s="6" t="s">
        <v>39</v>
      </c>
      <c r="Q17" s="3" t="s">
        <v>455</v>
      </c>
    </row>
    <row r="18" spans="1:17" ht="15.75" x14ac:dyDescent="0.25">
      <c r="A18" s="86">
        <v>17</v>
      </c>
      <c r="B18" s="87"/>
      <c r="C18" s="88" t="s">
        <v>122</v>
      </c>
      <c r="D18" s="87"/>
      <c r="E18" s="89"/>
      <c r="F18" s="87"/>
      <c r="G18" s="89"/>
      <c r="H18" s="87"/>
      <c r="J18" s="6">
        <v>17</v>
      </c>
      <c r="K18" s="2" t="s">
        <v>425</v>
      </c>
      <c r="L18" s="2" t="s">
        <v>412</v>
      </c>
      <c r="M18" s="6" t="s">
        <v>200</v>
      </c>
      <c r="N18" s="6" t="s">
        <v>15</v>
      </c>
      <c r="O18" s="6" t="s">
        <v>57</v>
      </c>
      <c r="P18" s="6" t="s">
        <v>39</v>
      </c>
      <c r="Q18" s="3" t="s">
        <v>455</v>
      </c>
    </row>
    <row r="19" spans="1:17" ht="15.75" x14ac:dyDescent="0.25">
      <c r="A19" s="86">
        <v>18</v>
      </c>
      <c r="B19" s="87"/>
      <c r="C19" s="88" t="s">
        <v>93</v>
      </c>
      <c r="D19" s="87"/>
      <c r="E19" s="87"/>
      <c r="F19" s="87"/>
      <c r="G19" s="89"/>
      <c r="H19" s="87"/>
      <c r="J19" s="6">
        <v>18</v>
      </c>
      <c r="K19" s="2" t="s">
        <v>93</v>
      </c>
      <c r="L19" s="2" t="s">
        <v>89</v>
      </c>
      <c r="M19" s="6" t="s">
        <v>405</v>
      </c>
      <c r="N19" s="6" t="s">
        <v>35</v>
      </c>
      <c r="O19" s="6" t="s">
        <v>57</v>
      </c>
      <c r="P19" s="6" t="s">
        <v>43</v>
      </c>
      <c r="Q19" s="3" t="s">
        <v>455</v>
      </c>
    </row>
    <row r="20" spans="1:17" ht="15.75" x14ac:dyDescent="0.25">
      <c r="A20" s="86">
        <v>19</v>
      </c>
      <c r="B20" s="87"/>
      <c r="C20" s="88" t="s">
        <v>233</v>
      </c>
      <c r="D20" s="87"/>
      <c r="E20" s="87"/>
      <c r="F20" s="87"/>
      <c r="G20" s="89"/>
      <c r="H20" s="87"/>
      <c r="J20" s="6">
        <v>19</v>
      </c>
      <c r="K20" s="2" t="s">
        <v>233</v>
      </c>
      <c r="L20" s="2" t="s">
        <v>208</v>
      </c>
      <c r="M20" s="6" t="s">
        <v>408</v>
      </c>
      <c r="N20" s="6" t="s">
        <v>27</v>
      </c>
      <c r="O20" s="6" t="s">
        <v>64</v>
      </c>
      <c r="P20" s="6" t="s">
        <v>43</v>
      </c>
      <c r="Q20" s="3" t="s">
        <v>455</v>
      </c>
    </row>
    <row r="21" spans="1:17" ht="15.75" x14ac:dyDescent="0.25">
      <c r="A21" s="86">
        <v>20</v>
      </c>
      <c r="B21" s="87"/>
      <c r="C21" s="88" t="s">
        <v>235</v>
      </c>
      <c r="D21" s="87"/>
      <c r="E21" s="87"/>
      <c r="F21" s="87"/>
      <c r="G21" s="87"/>
      <c r="H21" s="87"/>
      <c r="J21" s="6">
        <v>20</v>
      </c>
      <c r="K21" s="2" t="s">
        <v>235</v>
      </c>
      <c r="L21" s="2" t="s">
        <v>426</v>
      </c>
      <c r="M21" s="6" t="s">
        <v>408</v>
      </c>
      <c r="N21" s="6" t="s">
        <v>15</v>
      </c>
      <c r="O21" s="6" t="s">
        <v>57</v>
      </c>
      <c r="P21" s="6" t="s">
        <v>200</v>
      </c>
      <c r="Q21" s="3" t="s">
        <v>454</v>
      </c>
    </row>
    <row r="22" spans="1:17" ht="15.75" x14ac:dyDescent="0.25">
      <c r="A22" s="86">
        <v>21</v>
      </c>
      <c r="B22" s="88"/>
      <c r="C22" s="88" t="s">
        <v>92</v>
      </c>
      <c r="D22" s="88"/>
      <c r="E22" s="88"/>
      <c r="F22" s="88"/>
      <c r="G22" s="88"/>
      <c r="H22" s="88"/>
      <c r="J22" s="6">
        <v>21</v>
      </c>
      <c r="K22" s="2" t="s">
        <v>92</v>
      </c>
      <c r="L22" s="2" t="s">
        <v>89</v>
      </c>
      <c r="M22" s="6" t="s">
        <v>405</v>
      </c>
      <c r="N22" s="6" t="s">
        <v>35</v>
      </c>
      <c r="O22" s="6" t="s">
        <v>57</v>
      </c>
      <c r="P22" s="6" t="s">
        <v>43</v>
      </c>
      <c r="Q22" s="3" t="s">
        <v>455</v>
      </c>
    </row>
    <row r="23" spans="1:17" ht="15.75" x14ac:dyDescent="0.25">
      <c r="A23" s="86">
        <v>22</v>
      </c>
      <c r="B23" s="88"/>
      <c r="C23" s="88" t="s">
        <v>254</v>
      </c>
      <c r="D23" s="88"/>
      <c r="E23" s="88"/>
      <c r="F23" s="88"/>
      <c r="G23" s="88"/>
      <c r="H23" s="88"/>
      <c r="J23" s="6">
        <v>22</v>
      </c>
      <c r="K23" s="2" t="s">
        <v>254</v>
      </c>
      <c r="L23" s="2" t="s">
        <v>414</v>
      </c>
      <c r="M23" s="6" t="s">
        <v>423</v>
      </c>
      <c r="N23" s="6" t="s">
        <v>35</v>
      </c>
      <c r="O23" s="6" t="s">
        <v>200</v>
      </c>
      <c r="P23" s="6" t="s">
        <v>200</v>
      </c>
      <c r="Q23" s="3" t="s">
        <v>455</v>
      </c>
    </row>
    <row r="24" spans="1:17" ht="15.75" x14ac:dyDescent="0.25">
      <c r="A24" s="86">
        <v>23</v>
      </c>
      <c r="B24" s="88"/>
      <c r="C24" s="88" t="s">
        <v>123</v>
      </c>
      <c r="D24" s="88"/>
      <c r="E24" s="88"/>
      <c r="F24" s="88"/>
      <c r="G24" s="88"/>
      <c r="H24" s="88"/>
      <c r="J24" s="6">
        <v>23</v>
      </c>
      <c r="K24" s="2" t="s">
        <v>123</v>
      </c>
      <c r="L24" s="2" t="s">
        <v>412</v>
      </c>
      <c r="M24" s="6" t="s">
        <v>200</v>
      </c>
      <c r="N24" s="6" t="s">
        <v>15</v>
      </c>
      <c r="O24" s="6" t="s">
        <v>57</v>
      </c>
      <c r="P24" s="6" t="s">
        <v>39</v>
      </c>
      <c r="Q24" s="3" t="s">
        <v>456</v>
      </c>
    </row>
    <row r="25" spans="1:17" ht="15.75" x14ac:dyDescent="0.25">
      <c r="A25" s="86">
        <v>24</v>
      </c>
      <c r="B25" s="88"/>
      <c r="C25" s="88" t="s">
        <v>124</v>
      </c>
      <c r="D25" s="88"/>
      <c r="E25" s="88"/>
      <c r="F25" s="88"/>
      <c r="G25" s="88"/>
      <c r="H25" s="88"/>
      <c r="J25" s="6">
        <v>24</v>
      </c>
      <c r="K25" s="2" t="s">
        <v>124</v>
      </c>
      <c r="L25" s="2" t="s">
        <v>412</v>
      </c>
      <c r="M25" s="6" t="s">
        <v>200</v>
      </c>
      <c r="N25" s="6" t="s">
        <v>15</v>
      </c>
      <c r="O25" s="6" t="s">
        <v>57</v>
      </c>
      <c r="P25" s="6" t="s">
        <v>39</v>
      </c>
      <c r="Q25" s="3" t="s">
        <v>456</v>
      </c>
    </row>
    <row r="26" spans="1:17" ht="15.75" x14ac:dyDescent="0.25">
      <c r="A26" s="86">
        <v>25</v>
      </c>
      <c r="B26" s="88"/>
      <c r="C26" s="88" t="s">
        <v>128</v>
      </c>
      <c r="D26" s="88"/>
      <c r="E26" s="88"/>
      <c r="F26" s="88"/>
      <c r="G26" s="88"/>
      <c r="H26" s="88"/>
      <c r="J26" s="6">
        <v>25</v>
      </c>
      <c r="K26" s="2" t="s">
        <v>428</v>
      </c>
      <c r="L26" s="2" t="s">
        <v>207</v>
      </c>
      <c r="M26" s="6" t="s">
        <v>200</v>
      </c>
      <c r="N26" s="6" t="s">
        <v>21</v>
      </c>
      <c r="O26" s="6" t="s">
        <v>64</v>
      </c>
      <c r="P26" s="6" t="s">
        <v>39</v>
      </c>
      <c r="Q26" s="3" t="s">
        <v>455</v>
      </c>
    </row>
    <row r="27" spans="1:17" ht="15.75" x14ac:dyDescent="0.25">
      <c r="A27" s="86">
        <v>26</v>
      </c>
      <c r="B27" s="88"/>
      <c r="C27" s="88" t="s">
        <v>86</v>
      </c>
      <c r="D27" s="88"/>
      <c r="E27" s="88"/>
      <c r="F27" s="88"/>
      <c r="G27" s="88"/>
      <c r="H27" s="88"/>
      <c r="J27" s="6">
        <v>26</v>
      </c>
      <c r="K27" s="2" t="s">
        <v>86</v>
      </c>
      <c r="L27" s="2" t="s">
        <v>208</v>
      </c>
      <c r="M27" s="6" t="s">
        <v>408</v>
      </c>
      <c r="N27" s="6" t="s">
        <v>27</v>
      </c>
      <c r="O27" s="6" t="s">
        <v>64</v>
      </c>
      <c r="P27" s="6" t="s">
        <v>43</v>
      </c>
      <c r="Q27" s="3" t="s">
        <v>455</v>
      </c>
    </row>
    <row r="28" spans="1:17" ht="15.75" x14ac:dyDescent="0.25">
      <c r="A28" s="86">
        <v>27</v>
      </c>
      <c r="B28" s="88"/>
      <c r="C28" s="88" t="s">
        <v>232</v>
      </c>
      <c r="D28" s="88"/>
      <c r="E28" s="88"/>
      <c r="F28" s="88"/>
      <c r="G28" s="88"/>
      <c r="H28" s="88"/>
      <c r="J28" s="6">
        <v>27</v>
      </c>
      <c r="K28" s="2" t="s">
        <v>232</v>
      </c>
      <c r="L28" s="2" t="s">
        <v>429</v>
      </c>
      <c r="M28" s="6" t="s">
        <v>200</v>
      </c>
      <c r="N28" s="6" t="s">
        <v>27</v>
      </c>
      <c r="O28" s="6" t="s">
        <v>64</v>
      </c>
      <c r="P28" s="6" t="s">
        <v>51</v>
      </c>
      <c r="Q28" s="3" t="s">
        <v>455</v>
      </c>
    </row>
    <row r="29" spans="1:17" ht="15.75" x14ac:dyDescent="0.25">
      <c r="A29" s="86">
        <v>28</v>
      </c>
      <c r="B29" s="88"/>
      <c r="C29" s="88" t="s">
        <v>82</v>
      </c>
      <c r="D29" s="88"/>
      <c r="E29" s="88"/>
      <c r="F29" s="88"/>
      <c r="G29" s="88"/>
      <c r="H29" s="88"/>
      <c r="J29" s="6">
        <v>28</v>
      </c>
      <c r="K29" s="2" t="s">
        <v>82</v>
      </c>
      <c r="L29" s="2" t="s">
        <v>430</v>
      </c>
      <c r="M29" s="6" t="s">
        <v>200</v>
      </c>
      <c r="N29" s="6" t="s">
        <v>21</v>
      </c>
      <c r="O29" s="6" t="s">
        <v>64</v>
      </c>
      <c r="P29" s="6" t="s">
        <v>51</v>
      </c>
      <c r="Q29" s="3" t="s">
        <v>455</v>
      </c>
    </row>
    <row r="30" spans="1:17" ht="15.75" x14ac:dyDescent="0.25">
      <c r="A30" s="86">
        <v>29</v>
      </c>
      <c r="B30" s="88"/>
      <c r="C30" s="88" t="s">
        <v>255</v>
      </c>
      <c r="D30" s="88"/>
      <c r="E30" s="88"/>
      <c r="F30" s="88"/>
      <c r="G30" s="88"/>
      <c r="H30" s="88"/>
      <c r="J30" s="6">
        <v>29</v>
      </c>
      <c r="K30" s="2" t="s">
        <v>431</v>
      </c>
      <c r="L30" s="2" t="s">
        <v>414</v>
      </c>
      <c r="M30" s="6" t="s">
        <v>423</v>
      </c>
      <c r="N30" s="6" t="s">
        <v>35</v>
      </c>
      <c r="O30" s="6" t="s">
        <v>200</v>
      </c>
      <c r="P30" s="6" t="s">
        <v>200</v>
      </c>
      <c r="Q30" s="3" t="s">
        <v>455</v>
      </c>
    </row>
    <row r="31" spans="1:17" ht="15.75" x14ac:dyDescent="0.25">
      <c r="A31" s="86">
        <v>30</v>
      </c>
      <c r="B31" s="88"/>
      <c r="C31" s="88" t="s">
        <v>129</v>
      </c>
      <c r="D31" s="88"/>
      <c r="E31" s="88"/>
      <c r="F31" s="88"/>
      <c r="G31" s="88"/>
      <c r="H31" s="88"/>
      <c r="J31" s="6">
        <v>30</v>
      </c>
      <c r="K31" s="2" t="s">
        <v>129</v>
      </c>
      <c r="L31" s="2" t="s">
        <v>207</v>
      </c>
      <c r="M31" s="6" t="s">
        <v>200</v>
      </c>
      <c r="N31" s="6" t="s">
        <v>21</v>
      </c>
      <c r="O31" s="6" t="s">
        <v>64</v>
      </c>
      <c r="P31" s="6" t="s">
        <v>39</v>
      </c>
      <c r="Q31" s="3" t="s">
        <v>456</v>
      </c>
    </row>
    <row r="32" spans="1:17" ht="15.75" x14ac:dyDescent="0.25">
      <c r="A32" s="86">
        <v>31</v>
      </c>
      <c r="B32" s="88"/>
      <c r="C32" s="88" t="s">
        <v>80</v>
      </c>
      <c r="D32" s="88"/>
      <c r="E32" s="88"/>
      <c r="F32" s="88"/>
      <c r="G32" s="88"/>
      <c r="H32" s="88"/>
      <c r="J32" s="6">
        <v>31</v>
      </c>
      <c r="K32" s="2" t="s">
        <v>80</v>
      </c>
      <c r="L32" s="2" t="s">
        <v>432</v>
      </c>
      <c r="M32" s="6" t="s">
        <v>200</v>
      </c>
      <c r="N32" s="6" t="s">
        <v>21</v>
      </c>
      <c r="O32" s="6" t="s">
        <v>64</v>
      </c>
      <c r="P32" s="6" t="s">
        <v>406</v>
      </c>
      <c r="Q32" s="3" t="s">
        <v>456</v>
      </c>
    </row>
    <row r="33" spans="1:17" ht="15.75" x14ac:dyDescent="0.25">
      <c r="A33" s="86">
        <v>32</v>
      </c>
      <c r="B33" s="88"/>
      <c r="C33" s="88" t="s">
        <v>96</v>
      </c>
      <c r="D33" s="88"/>
      <c r="E33" s="88"/>
      <c r="F33" s="88"/>
      <c r="G33" s="88"/>
      <c r="H33" s="88"/>
      <c r="J33" s="6">
        <v>32</v>
      </c>
      <c r="K33" s="2" t="s">
        <v>96</v>
      </c>
      <c r="L33" s="2" t="s">
        <v>412</v>
      </c>
      <c r="M33" s="6" t="s">
        <v>200</v>
      </c>
      <c r="N33" s="6" t="s">
        <v>15</v>
      </c>
      <c r="O33" s="6" t="s">
        <v>57</v>
      </c>
      <c r="P33" s="6" t="s">
        <v>39</v>
      </c>
      <c r="Q33" s="3" t="s">
        <v>455</v>
      </c>
    </row>
    <row r="34" spans="1:17" ht="15.75" x14ac:dyDescent="0.25">
      <c r="A34" s="86">
        <v>33</v>
      </c>
      <c r="B34" s="88"/>
      <c r="C34" s="88" t="s">
        <v>97</v>
      </c>
      <c r="D34" s="88"/>
      <c r="E34" s="88"/>
      <c r="F34" s="88"/>
      <c r="G34" s="88"/>
      <c r="H34" s="88"/>
      <c r="J34" s="6">
        <v>33</v>
      </c>
      <c r="K34" s="2" t="s">
        <v>97</v>
      </c>
      <c r="L34" s="2" t="s">
        <v>412</v>
      </c>
      <c r="M34" s="6" t="s">
        <v>200</v>
      </c>
      <c r="N34" s="6" t="s">
        <v>15</v>
      </c>
      <c r="O34" s="6" t="s">
        <v>57</v>
      </c>
      <c r="P34" s="6" t="s">
        <v>39</v>
      </c>
      <c r="Q34" s="3" t="s">
        <v>455</v>
      </c>
    </row>
    <row r="35" spans="1:17" ht="15.75" x14ac:dyDescent="0.25">
      <c r="A35" s="86">
        <v>34</v>
      </c>
      <c r="B35" s="88"/>
      <c r="C35" s="88" t="s">
        <v>88</v>
      </c>
      <c r="D35" s="88"/>
      <c r="E35" s="88"/>
      <c r="F35" s="88"/>
      <c r="G35" s="88"/>
      <c r="H35" s="88"/>
      <c r="J35" s="6">
        <v>34</v>
      </c>
      <c r="K35" s="2" t="s">
        <v>433</v>
      </c>
      <c r="L35" s="2" t="s">
        <v>434</v>
      </c>
      <c r="M35" s="6" t="s">
        <v>408</v>
      </c>
      <c r="N35" s="6" t="s">
        <v>27</v>
      </c>
      <c r="O35" s="6" t="s">
        <v>64</v>
      </c>
      <c r="P35" s="6" t="s">
        <v>43</v>
      </c>
      <c r="Q35" s="3" t="s">
        <v>455</v>
      </c>
    </row>
    <row r="36" spans="1:17" ht="15.75" x14ac:dyDescent="0.25">
      <c r="A36" s="86">
        <v>35</v>
      </c>
      <c r="B36" s="88"/>
      <c r="C36" s="88" t="s">
        <v>99</v>
      </c>
      <c r="D36" s="88"/>
      <c r="E36" s="88"/>
      <c r="F36" s="88"/>
      <c r="G36" s="88"/>
      <c r="H36" s="88"/>
      <c r="J36" s="6">
        <v>35</v>
      </c>
      <c r="K36" s="2" t="s">
        <v>99</v>
      </c>
      <c r="L36" s="2" t="s">
        <v>435</v>
      </c>
      <c r="M36" s="6" t="s">
        <v>408</v>
      </c>
      <c r="N36" s="6" t="s">
        <v>27</v>
      </c>
      <c r="O36" s="6" t="s">
        <v>64</v>
      </c>
      <c r="P36" s="6" t="s">
        <v>43</v>
      </c>
      <c r="Q36" s="3" t="s">
        <v>455</v>
      </c>
    </row>
    <row r="37" spans="1:17" ht="15.75" x14ac:dyDescent="0.25">
      <c r="A37" s="86">
        <v>36</v>
      </c>
      <c r="B37" s="88"/>
      <c r="C37" s="88" t="s">
        <v>234</v>
      </c>
      <c r="D37" s="88"/>
      <c r="E37" s="88"/>
      <c r="F37" s="88"/>
      <c r="G37" s="88"/>
      <c r="H37" s="88"/>
      <c r="J37" s="6">
        <v>36</v>
      </c>
      <c r="K37" s="2" t="s">
        <v>436</v>
      </c>
      <c r="L37" s="2" t="s">
        <v>437</v>
      </c>
      <c r="M37" s="6" t="s">
        <v>200</v>
      </c>
      <c r="N37" s="6" t="s">
        <v>15</v>
      </c>
      <c r="O37" s="6" t="s">
        <v>57</v>
      </c>
      <c r="P37" s="6" t="s">
        <v>39</v>
      </c>
      <c r="Q37" s="3" t="s">
        <v>455</v>
      </c>
    </row>
    <row r="38" spans="1:17" ht="15.75" x14ac:dyDescent="0.25">
      <c r="A38" s="86">
        <v>37</v>
      </c>
      <c r="B38" s="88"/>
      <c r="C38" s="88" t="s">
        <v>256</v>
      </c>
      <c r="D38" s="88"/>
      <c r="E38" s="88"/>
      <c r="F38" s="88"/>
      <c r="G38" s="88"/>
      <c r="H38" s="88"/>
      <c r="J38" s="6">
        <v>37</v>
      </c>
      <c r="K38" s="2" t="s">
        <v>438</v>
      </c>
      <c r="L38" s="2" t="s">
        <v>414</v>
      </c>
      <c r="M38" s="6" t="s">
        <v>423</v>
      </c>
      <c r="N38" s="6" t="s">
        <v>35</v>
      </c>
      <c r="O38" s="6" t="s">
        <v>200</v>
      </c>
      <c r="P38" s="6" t="s">
        <v>200</v>
      </c>
      <c r="Q38" s="3" t="s">
        <v>455</v>
      </c>
    </row>
    <row r="39" spans="1:17" ht="15.75" x14ac:dyDescent="0.25">
      <c r="A39" s="86">
        <v>38</v>
      </c>
      <c r="B39" s="88"/>
      <c r="C39" s="88" t="s">
        <v>84</v>
      </c>
      <c r="D39" s="88"/>
      <c r="E39" s="88"/>
      <c r="F39" s="88"/>
      <c r="G39" s="88"/>
      <c r="H39" s="88"/>
      <c r="J39" s="6">
        <v>38</v>
      </c>
      <c r="K39" s="2" t="s">
        <v>84</v>
      </c>
      <c r="L39" s="2" t="s">
        <v>208</v>
      </c>
      <c r="M39" s="6" t="s">
        <v>408</v>
      </c>
      <c r="N39" s="6" t="s">
        <v>27</v>
      </c>
      <c r="O39" s="6" t="s">
        <v>64</v>
      </c>
      <c r="P39" s="6" t="s">
        <v>43</v>
      </c>
      <c r="Q39" s="3" t="s">
        <v>456</v>
      </c>
    </row>
    <row r="40" spans="1:17" ht="15.75" x14ac:dyDescent="0.25">
      <c r="A40" s="86">
        <v>39</v>
      </c>
      <c r="B40" s="88"/>
      <c r="C40" s="88" t="s">
        <v>106</v>
      </c>
      <c r="D40" s="88"/>
      <c r="E40" s="88"/>
      <c r="F40" s="88"/>
      <c r="G40" s="88"/>
      <c r="H40" s="88"/>
      <c r="J40" s="6">
        <v>39</v>
      </c>
      <c r="K40" s="2" t="s">
        <v>106</v>
      </c>
      <c r="L40" s="2" t="s">
        <v>439</v>
      </c>
      <c r="M40" s="6" t="s">
        <v>408</v>
      </c>
      <c r="N40" s="6" t="s">
        <v>27</v>
      </c>
      <c r="O40" s="6" t="s">
        <v>64</v>
      </c>
      <c r="P40" s="6" t="s">
        <v>43</v>
      </c>
      <c r="Q40" s="3" t="s">
        <v>455</v>
      </c>
    </row>
    <row r="41" spans="1:17" ht="15.75" x14ac:dyDescent="0.25">
      <c r="A41" s="86">
        <v>40</v>
      </c>
      <c r="B41" s="88"/>
      <c r="C41" s="88" t="s">
        <v>98</v>
      </c>
      <c r="D41" s="88"/>
      <c r="E41" s="88"/>
      <c r="F41" s="88"/>
      <c r="G41" s="88"/>
      <c r="H41" s="88"/>
      <c r="J41" s="6">
        <v>40</v>
      </c>
      <c r="K41" s="2" t="s">
        <v>98</v>
      </c>
      <c r="L41" s="2" t="s">
        <v>440</v>
      </c>
      <c r="M41" s="6" t="s">
        <v>200</v>
      </c>
      <c r="N41" s="6" t="s">
        <v>27</v>
      </c>
      <c r="O41" s="6" t="s">
        <v>64</v>
      </c>
      <c r="P41" s="6" t="s">
        <v>51</v>
      </c>
      <c r="Q41" s="3" t="s">
        <v>455</v>
      </c>
    </row>
    <row r="42" spans="1:17" ht="15.75" x14ac:dyDescent="0.25">
      <c r="A42" s="86">
        <v>41</v>
      </c>
      <c r="B42" s="88"/>
      <c r="C42" s="88" t="s">
        <v>89</v>
      </c>
      <c r="D42" s="88"/>
      <c r="E42" s="88"/>
      <c r="F42" s="88"/>
      <c r="G42" s="88"/>
      <c r="H42" s="88"/>
      <c r="J42" s="6">
        <v>41</v>
      </c>
      <c r="K42" s="2" t="s">
        <v>89</v>
      </c>
      <c r="L42" s="2" t="s">
        <v>89</v>
      </c>
      <c r="M42" s="6" t="s">
        <v>405</v>
      </c>
      <c r="N42" s="6" t="s">
        <v>35</v>
      </c>
      <c r="O42" s="6" t="s">
        <v>57</v>
      </c>
      <c r="P42" s="6" t="s">
        <v>43</v>
      </c>
      <c r="Q42" s="3" t="s">
        <v>456</v>
      </c>
    </row>
    <row r="43" spans="1:17" ht="15.75" x14ac:dyDescent="0.25">
      <c r="A43" s="86">
        <v>42</v>
      </c>
      <c r="B43" s="88"/>
      <c r="C43" s="88" t="s">
        <v>92</v>
      </c>
      <c r="D43" s="88"/>
      <c r="E43" s="88"/>
      <c r="F43" s="88"/>
      <c r="G43" s="88"/>
      <c r="H43" s="88"/>
      <c r="J43" s="6">
        <v>42</v>
      </c>
      <c r="K43" s="2" t="s">
        <v>92</v>
      </c>
      <c r="L43" s="2" t="s">
        <v>89</v>
      </c>
      <c r="M43" s="6" t="s">
        <v>405</v>
      </c>
      <c r="N43" s="6" t="s">
        <v>35</v>
      </c>
      <c r="O43" s="6" t="s">
        <v>57</v>
      </c>
      <c r="P43" s="6" t="s">
        <v>43</v>
      </c>
      <c r="Q43" s="3" t="s">
        <v>456</v>
      </c>
    </row>
    <row r="44" spans="1:17" ht="15.75" x14ac:dyDescent="0.25">
      <c r="A44" s="86">
        <v>43</v>
      </c>
      <c r="B44" s="88"/>
      <c r="C44" s="88" t="s">
        <v>215</v>
      </c>
      <c r="D44" s="88"/>
      <c r="E44" s="88"/>
      <c r="F44" s="88"/>
      <c r="G44" s="88"/>
      <c r="H44" s="88"/>
      <c r="J44" s="6">
        <v>43</v>
      </c>
      <c r="K44" s="2" t="s">
        <v>441</v>
      </c>
      <c r="L44" s="2" t="s">
        <v>437</v>
      </c>
      <c r="M44" s="6" t="s">
        <v>200</v>
      </c>
      <c r="N44" s="6" t="s">
        <v>15</v>
      </c>
      <c r="O44" s="6" t="s">
        <v>64</v>
      </c>
      <c r="P44" s="6" t="s">
        <v>39</v>
      </c>
      <c r="Q44" s="3" t="s">
        <v>455</v>
      </c>
    </row>
    <row r="45" spans="1:17" ht="15.75" x14ac:dyDescent="0.25">
      <c r="A45" s="86">
        <v>44</v>
      </c>
      <c r="B45" s="88"/>
      <c r="C45" s="88" t="s">
        <v>102</v>
      </c>
      <c r="D45" s="88"/>
      <c r="E45" s="88"/>
      <c r="F45" s="88"/>
      <c r="G45" s="88"/>
      <c r="H45" s="88"/>
      <c r="J45" s="6">
        <v>44</v>
      </c>
      <c r="K45" s="2" t="s">
        <v>102</v>
      </c>
      <c r="L45" s="2" t="s">
        <v>442</v>
      </c>
      <c r="M45" s="6" t="s">
        <v>200</v>
      </c>
      <c r="N45" s="6" t="s">
        <v>15</v>
      </c>
      <c r="O45" s="6" t="s">
        <v>64</v>
      </c>
      <c r="P45" s="6" t="s">
        <v>39</v>
      </c>
      <c r="Q45" s="3" t="s">
        <v>455</v>
      </c>
    </row>
    <row r="46" spans="1:17" ht="15.75" x14ac:dyDescent="0.25">
      <c r="A46" s="86">
        <v>45</v>
      </c>
      <c r="B46" s="88"/>
      <c r="C46" s="88" t="s">
        <v>257</v>
      </c>
      <c r="D46" s="88"/>
      <c r="E46" s="88"/>
      <c r="F46" s="88"/>
      <c r="G46" s="88"/>
      <c r="H46" s="88"/>
      <c r="J46" s="6">
        <v>45</v>
      </c>
      <c r="K46" s="2" t="s">
        <v>443</v>
      </c>
      <c r="L46" s="2" t="s">
        <v>414</v>
      </c>
      <c r="M46" s="6" t="s">
        <v>423</v>
      </c>
      <c r="N46" s="6" t="s">
        <v>35</v>
      </c>
      <c r="O46" s="6" t="s">
        <v>200</v>
      </c>
      <c r="P46" s="6" t="s">
        <v>200</v>
      </c>
      <c r="Q46" s="3" t="s">
        <v>456</v>
      </c>
    </row>
    <row r="47" spans="1:17" ht="15.75" x14ac:dyDescent="0.25">
      <c r="A47" s="86">
        <v>46</v>
      </c>
      <c r="B47" s="88"/>
      <c r="C47" s="88" t="s">
        <v>107</v>
      </c>
      <c r="D47" s="88"/>
      <c r="E47" s="88"/>
      <c r="F47" s="88"/>
      <c r="G47" s="88"/>
      <c r="H47" s="88"/>
      <c r="J47" s="6">
        <v>46</v>
      </c>
      <c r="K47" s="2" t="s">
        <v>107</v>
      </c>
      <c r="L47" s="2" t="s">
        <v>439</v>
      </c>
      <c r="M47" s="6" t="s">
        <v>200</v>
      </c>
      <c r="N47" s="6" t="s">
        <v>27</v>
      </c>
      <c r="O47" s="6" t="s">
        <v>64</v>
      </c>
      <c r="P47" s="6" t="s">
        <v>43</v>
      </c>
      <c r="Q47" s="3" t="s">
        <v>456</v>
      </c>
    </row>
    <row r="48" spans="1:17" ht="15.75" x14ac:dyDescent="0.25">
      <c r="A48" s="86">
        <v>47</v>
      </c>
      <c r="B48" s="88"/>
      <c r="C48" s="88" t="s">
        <v>109</v>
      </c>
      <c r="D48" s="88"/>
      <c r="E48" s="88"/>
      <c r="F48" s="88"/>
      <c r="G48" s="88"/>
      <c r="H48" s="88"/>
      <c r="J48" s="6">
        <v>47</v>
      </c>
      <c r="K48" s="2" t="s">
        <v>109</v>
      </c>
      <c r="L48" s="2" t="s">
        <v>444</v>
      </c>
      <c r="M48" s="6" t="s">
        <v>200</v>
      </c>
      <c r="N48" s="6" t="s">
        <v>21</v>
      </c>
      <c r="O48" s="6" t="s">
        <v>64</v>
      </c>
      <c r="P48" s="6" t="s">
        <v>51</v>
      </c>
      <c r="Q48" s="3" t="s">
        <v>456</v>
      </c>
    </row>
    <row r="49" spans="1:17" ht="15.75" x14ac:dyDescent="0.25">
      <c r="A49" s="86">
        <v>48</v>
      </c>
      <c r="B49" s="88"/>
      <c r="C49" s="88" t="s">
        <v>105</v>
      </c>
      <c r="D49" s="88"/>
      <c r="E49" s="88"/>
      <c r="F49" s="88"/>
      <c r="G49" s="88"/>
      <c r="H49" s="88"/>
      <c r="J49" s="6">
        <v>48</v>
      </c>
      <c r="K49" s="2" t="s">
        <v>105</v>
      </c>
      <c r="L49" s="2" t="s">
        <v>203</v>
      </c>
      <c r="M49" s="6" t="s">
        <v>405</v>
      </c>
      <c r="N49" s="6" t="s">
        <v>27</v>
      </c>
      <c r="O49" s="6" t="s">
        <v>64</v>
      </c>
      <c r="P49" s="6" t="s">
        <v>51</v>
      </c>
      <c r="Q49" s="3" t="s">
        <v>456</v>
      </c>
    </row>
    <row r="50" spans="1:17" ht="15.75" x14ac:dyDescent="0.25">
      <c r="A50" s="86">
        <v>49</v>
      </c>
      <c r="B50" s="88"/>
      <c r="C50" s="88" t="s">
        <v>100</v>
      </c>
      <c r="D50" s="88"/>
      <c r="E50" s="88"/>
      <c r="F50" s="88"/>
      <c r="G50" s="88"/>
      <c r="H50" s="88"/>
      <c r="J50" s="6">
        <v>49</v>
      </c>
      <c r="K50" s="2" t="s">
        <v>100</v>
      </c>
      <c r="L50" s="2" t="s">
        <v>445</v>
      </c>
      <c r="M50" s="6" t="s">
        <v>200</v>
      </c>
      <c r="N50" s="6" t="s">
        <v>21</v>
      </c>
      <c r="O50" s="6" t="s">
        <v>64</v>
      </c>
      <c r="P50" s="6" t="s">
        <v>51</v>
      </c>
      <c r="Q50" s="3" t="s">
        <v>456</v>
      </c>
    </row>
    <row r="51" spans="1:17" ht="15.75" x14ac:dyDescent="0.25">
      <c r="A51" s="86">
        <v>50</v>
      </c>
      <c r="B51" s="88"/>
      <c r="C51" s="88" t="s">
        <v>101</v>
      </c>
      <c r="D51" s="88"/>
      <c r="E51" s="88"/>
      <c r="F51" s="88"/>
      <c r="G51" s="88"/>
      <c r="H51" s="88"/>
      <c r="J51" s="6">
        <v>50</v>
      </c>
      <c r="K51" s="2" t="s">
        <v>101</v>
      </c>
      <c r="L51" s="2" t="s">
        <v>446</v>
      </c>
      <c r="M51" s="6" t="s">
        <v>200</v>
      </c>
      <c r="N51" s="6" t="s">
        <v>27</v>
      </c>
      <c r="O51" s="6" t="s">
        <v>64</v>
      </c>
      <c r="P51" s="6" t="s">
        <v>51</v>
      </c>
      <c r="Q51" s="3" t="s">
        <v>455</v>
      </c>
    </row>
    <row r="52" spans="1:17" ht="15.75" x14ac:dyDescent="0.25">
      <c r="A52" s="86">
        <v>51</v>
      </c>
      <c r="B52" s="88"/>
      <c r="C52" s="88" t="s">
        <v>238</v>
      </c>
      <c r="D52" s="88"/>
      <c r="E52" s="88"/>
      <c r="F52" s="88"/>
      <c r="G52" s="88"/>
      <c r="H52" s="88"/>
      <c r="J52" s="6">
        <v>51</v>
      </c>
      <c r="K52" s="2" t="s">
        <v>447</v>
      </c>
      <c r="L52" s="2" t="s">
        <v>442</v>
      </c>
      <c r="M52" s="6" t="s">
        <v>200</v>
      </c>
      <c r="N52" s="6" t="s">
        <v>27</v>
      </c>
      <c r="O52" s="6" t="s">
        <v>64</v>
      </c>
      <c r="P52" s="6" t="s">
        <v>51</v>
      </c>
      <c r="Q52" s="3" t="s">
        <v>456</v>
      </c>
    </row>
    <row r="53" spans="1:17" ht="15.75" x14ac:dyDescent="0.25">
      <c r="A53" s="86">
        <v>52</v>
      </c>
      <c r="B53" s="88"/>
      <c r="C53" s="88" t="s">
        <v>94</v>
      </c>
      <c r="D53" s="88"/>
      <c r="E53" s="88"/>
      <c r="F53" s="88"/>
      <c r="G53" s="88"/>
      <c r="H53" s="88"/>
      <c r="J53" s="6">
        <v>52</v>
      </c>
      <c r="K53" s="2" t="s">
        <v>94</v>
      </c>
      <c r="L53" s="2" t="s">
        <v>89</v>
      </c>
      <c r="M53" s="6" t="s">
        <v>405</v>
      </c>
      <c r="N53" s="6" t="s">
        <v>35</v>
      </c>
      <c r="O53" s="6" t="s">
        <v>57</v>
      </c>
      <c r="P53" s="6" t="s">
        <v>43</v>
      </c>
      <c r="Q53" s="3" t="s">
        <v>456</v>
      </c>
    </row>
    <row r="54" spans="1:17" ht="15.75" x14ac:dyDescent="0.25">
      <c r="A54" s="86">
        <v>53</v>
      </c>
      <c r="B54" s="88"/>
      <c r="C54" s="88" t="s">
        <v>95</v>
      </c>
      <c r="D54" s="88"/>
      <c r="E54" s="88"/>
      <c r="F54" s="88"/>
      <c r="G54" s="88"/>
      <c r="H54" s="88"/>
      <c r="J54" s="6">
        <v>53</v>
      </c>
      <c r="K54" s="2" t="s">
        <v>95</v>
      </c>
      <c r="L54" s="2" t="s">
        <v>414</v>
      </c>
      <c r="M54" s="6" t="s">
        <v>423</v>
      </c>
      <c r="N54" s="6" t="s">
        <v>35</v>
      </c>
      <c r="O54" s="6" t="s">
        <v>57</v>
      </c>
      <c r="P54" s="6" t="s">
        <v>200</v>
      </c>
      <c r="Q54" s="3" t="s">
        <v>456</v>
      </c>
    </row>
    <row r="55" spans="1:17" ht="15.75" x14ac:dyDescent="0.25">
      <c r="A55" s="86">
        <v>54</v>
      </c>
      <c r="B55" s="88"/>
      <c r="C55" s="88" t="s">
        <v>91</v>
      </c>
      <c r="D55" s="88"/>
      <c r="E55" s="88"/>
      <c r="F55" s="88"/>
      <c r="G55" s="88"/>
      <c r="H55" s="88"/>
      <c r="J55" s="6">
        <v>54</v>
      </c>
      <c r="K55" s="2" t="s">
        <v>448</v>
      </c>
      <c r="L55" s="2" t="s">
        <v>89</v>
      </c>
      <c r="M55" s="6" t="s">
        <v>405</v>
      </c>
      <c r="N55" s="6" t="s">
        <v>35</v>
      </c>
      <c r="O55" s="6" t="s">
        <v>57</v>
      </c>
      <c r="P55" s="6" t="s">
        <v>43</v>
      </c>
      <c r="Q55" s="3" t="s">
        <v>456</v>
      </c>
    </row>
    <row r="56" spans="1:17" ht="15.75" x14ac:dyDescent="0.25">
      <c r="A56" s="86">
        <v>55</v>
      </c>
      <c r="B56" s="88"/>
      <c r="C56" s="88" t="s">
        <v>241</v>
      </c>
      <c r="D56" s="88"/>
      <c r="E56" s="88"/>
      <c r="F56" s="88"/>
      <c r="G56" s="88"/>
      <c r="H56" s="88"/>
      <c r="J56" s="6">
        <v>55</v>
      </c>
      <c r="K56" s="2" t="s">
        <v>449</v>
      </c>
      <c r="L56" s="2" t="s">
        <v>432</v>
      </c>
      <c r="M56" s="6" t="s">
        <v>200</v>
      </c>
      <c r="N56" s="6" t="s">
        <v>21</v>
      </c>
      <c r="O56" s="6" t="s">
        <v>64</v>
      </c>
      <c r="P56" s="6" t="s">
        <v>43</v>
      </c>
      <c r="Q56" s="3" t="s">
        <v>456</v>
      </c>
    </row>
    <row r="57" spans="1:17" ht="15.75" x14ac:dyDescent="0.25">
      <c r="A57" s="86">
        <v>56</v>
      </c>
      <c r="B57" s="88"/>
      <c r="C57" s="88" t="s">
        <v>113</v>
      </c>
      <c r="D57" s="88"/>
      <c r="E57" s="88"/>
      <c r="F57" s="88"/>
      <c r="G57" s="88"/>
      <c r="H57" s="88"/>
      <c r="J57" s="6">
        <v>56</v>
      </c>
      <c r="K57" s="2" t="s">
        <v>113</v>
      </c>
      <c r="L57" s="2" t="s">
        <v>450</v>
      </c>
      <c r="M57" s="6" t="s">
        <v>423</v>
      </c>
      <c r="N57" s="6" t="s">
        <v>451</v>
      </c>
      <c r="O57" s="6" t="s">
        <v>452</v>
      </c>
      <c r="P57" s="6" t="s">
        <v>453</v>
      </c>
      <c r="Q57" s="3" t="s">
        <v>456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20C1F-0DE7-4A53-A7B9-273A92749677}">
  <dimension ref="A1:P59"/>
  <sheetViews>
    <sheetView topLeftCell="A40" workbookViewId="0">
      <selection activeCell="M53" sqref="M53"/>
    </sheetView>
  </sheetViews>
  <sheetFormatPr defaultRowHeight="15" x14ac:dyDescent="0.25"/>
  <cols>
    <col min="1" max="1" width="28.28515625" bestFit="1" customWidth="1"/>
    <col min="2" max="10" width="5.7109375" style="93" customWidth="1"/>
    <col min="11" max="11" width="6" style="93" bestFit="1" customWidth="1"/>
    <col min="12" max="12" width="8.85546875" style="93" bestFit="1" customWidth="1"/>
    <col min="13" max="13" width="5.85546875" bestFit="1" customWidth="1"/>
    <col min="14" max="14" width="7.5703125" bestFit="1" customWidth="1"/>
    <col min="15" max="15" width="5.28515625" bestFit="1" customWidth="1"/>
    <col min="16" max="16" width="8.85546875" bestFit="1" customWidth="1"/>
  </cols>
  <sheetData>
    <row r="1" spans="1:16" x14ac:dyDescent="0.25">
      <c r="A1" s="25" t="s">
        <v>75</v>
      </c>
      <c r="B1" s="94" t="s">
        <v>114</v>
      </c>
      <c r="C1" s="94" t="s">
        <v>222</v>
      </c>
      <c r="D1" s="94" t="s">
        <v>340</v>
      </c>
      <c r="E1" s="94" t="s">
        <v>344</v>
      </c>
      <c r="F1" s="94" t="s">
        <v>457</v>
      </c>
      <c r="G1" s="94" t="s">
        <v>458</v>
      </c>
      <c r="H1" s="94" t="s">
        <v>459</v>
      </c>
      <c r="I1" s="94" t="s">
        <v>460</v>
      </c>
      <c r="J1" s="94" t="s">
        <v>227</v>
      </c>
      <c r="K1" s="94" t="s">
        <v>461</v>
      </c>
      <c r="L1" s="94" t="s">
        <v>462</v>
      </c>
      <c r="M1" s="25" t="s">
        <v>463</v>
      </c>
      <c r="N1" s="25" t="s">
        <v>464</v>
      </c>
      <c r="O1" s="25" t="s">
        <v>465</v>
      </c>
      <c r="P1" s="25" t="s">
        <v>466</v>
      </c>
    </row>
    <row r="2" spans="1:16" x14ac:dyDescent="0.25">
      <c r="A2" s="24" t="s">
        <v>119</v>
      </c>
      <c r="B2" s="95">
        <v>2</v>
      </c>
      <c r="C2" s="95">
        <v>3</v>
      </c>
      <c r="D2" s="95">
        <v>3</v>
      </c>
      <c r="E2" s="95">
        <v>3</v>
      </c>
      <c r="F2" s="95">
        <v>0.3</v>
      </c>
      <c r="G2" s="95">
        <v>0.4</v>
      </c>
      <c r="H2" s="95">
        <v>0.15</v>
      </c>
      <c r="I2" s="95">
        <v>0.15</v>
      </c>
      <c r="J2" s="95">
        <f>B2*F2+C2*G2+D2*H2+E2*I2</f>
        <v>2.7</v>
      </c>
      <c r="K2" s="95">
        <f t="shared" ref="K2:K57" si="0">J2*2</f>
        <v>5.4</v>
      </c>
      <c r="L2" s="95">
        <f t="shared" ref="L2:L57" si="1">IF(K2&lt;=3,2,IF(K2&lt;=7,3,4))</f>
        <v>3</v>
      </c>
      <c r="M2" s="24" t="str">
        <f t="shared" ref="M2:M57" si="2">IF(OR(A2="Pancasila",A2="Kewarganegaraan",A2="Bahasa Inggris",LEFT(A2,3)="PAI"),"YES","NO")</f>
        <v>NO</v>
      </c>
      <c r="N2" s="24">
        <f>(E2*I2)+(D2*H2)+(C2*G2)+(B2*F2)</f>
        <v>2.7</v>
      </c>
      <c r="O2" s="24">
        <f t="shared" ref="O2:O57" si="3">RANK(N2,N$2:N$57)</f>
        <v>1</v>
      </c>
      <c r="P2" s="24">
        <f t="shared" ref="P2:P57" si="4">IF(M2="YES",L2,IF(O2&gt;40,L2-1,L2))</f>
        <v>3</v>
      </c>
    </row>
    <row r="3" spans="1:16" x14ac:dyDescent="0.25">
      <c r="A3" s="24" t="s">
        <v>120</v>
      </c>
      <c r="B3" s="95">
        <v>2</v>
      </c>
      <c r="C3" s="95">
        <v>3</v>
      </c>
      <c r="D3" s="95">
        <v>3</v>
      </c>
      <c r="E3" s="95">
        <v>3</v>
      </c>
      <c r="F3" s="95">
        <v>0.3</v>
      </c>
      <c r="G3" s="95">
        <v>0.4</v>
      </c>
      <c r="H3" s="95">
        <v>0.15</v>
      </c>
      <c r="I3" s="95">
        <v>0.15</v>
      </c>
      <c r="J3" s="95">
        <f t="shared" ref="J2:J57" si="5">B3*F3+C3*G3+D3*H3+E3*I3</f>
        <v>2.7</v>
      </c>
      <c r="K3" s="95">
        <f t="shared" si="0"/>
        <v>5.4</v>
      </c>
      <c r="L3" s="95">
        <f t="shared" si="1"/>
        <v>3</v>
      </c>
      <c r="M3" s="24" t="str">
        <f t="shared" si="2"/>
        <v>NO</v>
      </c>
      <c r="N3" s="24">
        <f t="shared" ref="N3:N57" si="6">(E3*I3)+(D3*H3)+(C3*G3)+(B3*F3)</f>
        <v>2.7</v>
      </c>
      <c r="O3" s="24">
        <f t="shared" si="3"/>
        <v>1</v>
      </c>
      <c r="P3" s="24">
        <f t="shared" si="4"/>
        <v>3</v>
      </c>
    </row>
    <row r="4" spans="1:16" x14ac:dyDescent="0.25">
      <c r="A4" s="24" t="s">
        <v>154</v>
      </c>
      <c r="B4" s="95">
        <v>2</v>
      </c>
      <c r="C4" s="95">
        <v>3</v>
      </c>
      <c r="D4" s="95">
        <v>3</v>
      </c>
      <c r="E4" s="95">
        <v>2</v>
      </c>
      <c r="F4" s="95">
        <v>0.3</v>
      </c>
      <c r="G4" s="95">
        <v>0.4</v>
      </c>
      <c r="H4" s="95">
        <v>0.15</v>
      </c>
      <c r="I4" s="95">
        <v>0.15</v>
      </c>
      <c r="J4" s="95">
        <f t="shared" si="5"/>
        <v>2.5499999999999998</v>
      </c>
      <c r="K4" s="95">
        <f t="shared" si="0"/>
        <v>5.0999999999999996</v>
      </c>
      <c r="L4" s="95">
        <f t="shared" si="1"/>
        <v>3</v>
      </c>
      <c r="M4" s="24" t="str">
        <f t="shared" si="2"/>
        <v>NO</v>
      </c>
      <c r="N4" s="24">
        <f t="shared" si="6"/>
        <v>2.5500000000000003</v>
      </c>
      <c r="O4" s="24">
        <f t="shared" si="3"/>
        <v>45</v>
      </c>
      <c r="P4" s="24">
        <f t="shared" si="4"/>
        <v>2</v>
      </c>
    </row>
    <row r="5" spans="1:16" x14ac:dyDescent="0.25">
      <c r="A5" s="24" t="s">
        <v>78</v>
      </c>
      <c r="B5" s="95">
        <v>2</v>
      </c>
      <c r="C5" s="95">
        <v>3</v>
      </c>
      <c r="D5" s="95">
        <v>3</v>
      </c>
      <c r="E5" s="95">
        <v>3</v>
      </c>
      <c r="F5" s="95">
        <v>0.3</v>
      </c>
      <c r="G5" s="95">
        <v>0.4</v>
      </c>
      <c r="H5" s="95">
        <v>0.15</v>
      </c>
      <c r="I5" s="95">
        <v>0.15</v>
      </c>
      <c r="J5" s="95">
        <f t="shared" si="5"/>
        <v>2.7</v>
      </c>
      <c r="K5" s="95">
        <f t="shared" si="0"/>
        <v>5.4</v>
      </c>
      <c r="L5" s="95">
        <f t="shared" si="1"/>
        <v>3</v>
      </c>
      <c r="M5" s="24" t="str">
        <f t="shared" si="2"/>
        <v>NO</v>
      </c>
      <c r="N5" s="24">
        <f t="shared" si="6"/>
        <v>2.7</v>
      </c>
      <c r="O5" s="24">
        <f t="shared" si="3"/>
        <v>1</v>
      </c>
      <c r="P5" s="24">
        <f t="shared" si="4"/>
        <v>3</v>
      </c>
    </row>
    <row r="6" spans="1:16" x14ac:dyDescent="0.25">
      <c r="A6" s="24" t="s">
        <v>111</v>
      </c>
      <c r="B6" s="95">
        <v>2</v>
      </c>
      <c r="C6" s="95">
        <v>2</v>
      </c>
      <c r="D6" s="95">
        <v>3</v>
      </c>
      <c r="E6" s="95">
        <v>3</v>
      </c>
      <c r="F6" s="95">
        <v>0.3</v>
      </c>
      <c r="G6" s="95">
        <v>0.4</v>
      </c>
      <c r="H6" s="95">
        <v>0.15</v>
      </c>
      <c r="I6" s="95">
        <v>0.15</v>
      </c>
      <c r="J6" s="95">
        <f t="shared" si="5"/>
        <v>2.2999999999999998</v>
      </c>
      <c r="K6" s="95">
        <f t="shared" si="0"/>
        <v>4.5999999999999996</v>
      </c>
      <c r="L6" s="95">
        <f t="shared" si="1"/>
        <v>3</v>
      </c>
      <c r="M6" s="24" t="str">
        <f t="shared" si="2"/>
        <v>NO</v>
      </c>
      <c r="N6" s="24">
        <f t="shared" si="6"/>
        <v>2.2999999999999998</v>
      </c>
      <c r="O6" s="24">
        <f t="shared" si="3"/>
        <v>46</v>
      </c>
      <c r="P6" s="24">
        <f t="shared" si="4"/>
        <v>2</v>
      </c>
    </row>
    <row r="7" spans="1:16" x14ac:dyDescent="0.25">
      <c r="A7" s="24" t="s">
        <v>467</v>
      </c>
      <c r="B7" s="95">
        <v>2</v>
      </c>
      <c r="C7" s="95">
        <v>2</v>
      </c>
      <c r="D7" s="95">
        <v>1</v>
      </c>
      <c r="E7" s="95">
        <v>1</v>
      </c>
      <c r="F7" s="95">
        <v>0.3</v>
      </c>
      <c r="G7" s="95">
        <v>0.4</v>
      </c>
      <c r="H7" s="95">
        <v>0.15</v>
      </c>
      <c r="I7" s="95">
        <v>0.15</v>
      </c>
      <c r="J7" s="95">
        <f t="shared" si="5"/>
        <v>1.6999999999999997</v>
      </c>
      <c r="K7" s="95">
        <f t="shared" si="0"/>
        <v>3.3999999999999995</v>
      </c>
      <c r="L7" s="95">
        <f t="shared" si="1"/>
        <v>3</v>
      </c>
      <c r="M7" s="24" t="str">
        <f>IF(OR(A7="Pancasila",A7="Kewarganegaraan",A7="Bahasa Inggris",LEFT(A7,2)="PAI"),"YES","NO")</f>
        <v>NO</v>
      </c>
      <c r="N7" s="24">
        <f t="shared" si="6"/>
        <v>1.7000000000000002</v>
      </c>
      <c r="O7" s="24">
        <f t="shared" si="3"/>
        <v>53</v>
      </c>
      <c r="P7" s="24">
        <f>IF(M7="YES",L7,IF(O7&gt;40,L7-1,L7))</f>
        <v>2</v>
      </c>
    </row>
    <row r="8" spans="1:16" x14ac:dyDescent="0.25">
      <c r="A8" s="24" t="s">
        <v>468</v>
      </c>
      <c r="B8" s="95">
        <v>2</v>
      </c>
      <c r="C8" s="95">
        <v>2</v>
      </c>
      <c r="D8" s="95">
        <v>1</v>
      </c>
      <c r="E8" s="95">
        <v>1</v>
      </c>
      <c r="F8" s="95">
        <v>0.3</v>
      </c>
      <c r="G8" s="95">
        <v>0.4</v>
      </c>
      <c r="H8" s="95">
        <v>0.15</v>
      </c>
      <c r="I8" s="95">
        <v>0.15</v>
      </c>
      <c r="J8" s="95">
        <f t="shared" si="5"/>
        <v>1.6999999999999997</v>
      </c>
      <c r="K8" s="95">
        <f t="shared" si="0"/>
        <v>3.3999999999999995</v>
      </c>
      <c r="L8" s="95">
        <f t="shared" si="1"/>
        <v>3</v>
      </c>
      <c r="M8" s="24" t="str">
        <f>IF(OR(A8="Pancasila",A8="Kewarganegaraan",A8="Bahasa Inggris",LEFT(A8,2)="PAI"),"YES","NO")</f>
        <v>YES</v>
      </c>
      <c r="N8" s="24">
        <f t="shared" si="6"/>
        <v>1.7000000000000002</v>
      </c>
      <c r="O8" s="24">
        <f t="shared" si="3"/>
        <v>53</v>
      </c>
      <c r="P8" s="24">
        <f t="shared" si="4"/>
        <v>3</v>
      </c>
    </row>
    <row r="9" spans="1:16" x14ac:dyDescent="0.25">
      <c r="A9" s="24" t="s">
        <v>150</v>
      </c>
      <c r="B9" s="95">
        <v>2</v>
      </c>
      <c r="C9" s="95">
        <v>2</v>
      </c>
      <c r="D9" s="95">
        <v>1</v>
      </c>
      <c r="E9" s="95">
        <v>1</v>
      </c>
      <c r="F9" s="95">
        <v>0.3</v>
      </c>
      <c r="G9" s="95">
        <v>0.4</v>
      </c>
      <c r="H9" s="95">
        <v>0.15</v>
      </c>
      <c r="I9" s="95">
        <v>0.15</v>
      </c>
      <c r="J9" s="95">
        <f t="shared" si="5"/>
        <v>1.6999999999999997</v>
      </c>
      <c r="K9" s="95">
        <f t="shared" si="0"/>
        <v>3.3999999999999995</v>
      </c>
      <c r="L9" s="95">
        <f t="shared" si="1"/>
        <v>3</v>
      </c>
      <c r="M9" s="24" t="str">
        <f t="shared" si="2"/>
        <v>YES</v>
      </c>
      <c r="N9" s="24">
        <f t="shared" si="6"/>
        <v>1.7000000000000002</v>
      </c>
      <c r="O9" s="24">
        <f t="shared" si="3"/>
        <v>53</v>
      </c>
      <c r="P9" s="24">
        <f t="shared" si="4"/>
        <v>3</v>
      </c>
    </row>
    <row r="10" spans="1:16" x14ac:dyDescent="0.25">
      <c r="A10" s="24" t="s">
        <v>469</v>
      </c>
      <c r="B10" s="95">
        <v>2</v>
      </c>
      <c r="C10" s="95">
        <v>2</v>
      </c>
      <c r="D10" s="95">
        <v>2</v>
      </c>
      <c r="E10" s="95">
        <v>2</v>
      </c>
      <c r="F10" s="95">
        <v>0.3</v>
      </c>
      <c r="G10" s="95">
        <v>0.4</v>
      </c>
      <c r="H10" s="95">
        <v>0.15</v>
      </c>
      <c r="I10" s="95">
        <v>0.15</v>
      </c>
      <c r="J10" s="95">
        <f t="shared" si="5"/>
        <v>2</v>
      </c>
      <c r="K10" s="95">
        <f t="shared" si="0"/>
        <v>4</v>
      </c>
      <c r="L10" s="95">
        <f t="shared" si="1"/>
        <v>3</v>
      </c>
      <c r="M10" s="24" t="str">
        <f>IF(OR(A10="Pancasila",A10="Kewarganegaraan",A10="Bahasa Inggris",LEFT(A10,2)="PAI"),"YES","NO")</f>
        <v>NO</v>
      </c>
      <c r="N10" s="24">
        <f t="shared" si="6"/>
        <v>2</v>
      </c>
      <c r="O10" s="24">
        <f t="shared" si="3"/>
        <v>47</v>
      </c>
      <c r="P10" s="24">
        <f t="shared" si="4"/>
        <v>2</v>
      </c>
    </row>
    <row r="11" spans="1:16" x14ac:dyDescent="0.25">
      <c r="A11" s="24" t="s">
        <v>79</v>
      </c>
      <c r="B11" s="95">
        <v>2</v>
      </c>
      <c r="C11" s="95">
        <v>3</v>
      </c>
      <c r="D11" s="95">
        <v>3</v>
      </c>
      <c r="E11" s="95">
        <v>3</v>
      </c>
      <c r="F11" s="95">
        <v>0.3</v>
      </c>
      <c r="G11" s="95">
        <v>0.4</v>
      </c>
      <c r="H11" s="95">
        <v>0.15</v>
      </c>
      <c r="I11" s="95">
        <v>0.15</v>
      </c>
      <c r="J11" s="95">
        <f t="shared" si="5"/>
        <v>2.7</v>
      </c>
      <c r="K11" s="95">
        <f t="shared" si="0"/>
        <v>5.4</v>
      </c>
      <c r="L11" s="95">
        <f t="shared" si="1"/>
        <v>3</v>
      </c>
      <c r="M11" s="24" t="str">
        <f t="shared" si="2"/>
        <v>NO</v>
      </c>
      <c r="N11" s="24">
        <f t="shared" si="6"/>
        <v>2.7</v>
      </c>
      <c r="O11" s="24">
        <f t="shared" si="3"/>
        <v>1</v>
      </c>
      <c r="P11" s="24">
        <f t="shared" si="4"/>
        <v>3</v>
      </c>
    </row>
    <row r="12" spans="1:16" x14ac:dyDescent="0.25">
      <c r="A12" s="24" t="s">
        <v>152</v>
      </c>
      <c r="B12" s="95">
        <v>2</v>
      </c>
      <c r="C12" s="95">
        <v>3</v>
      </c>
      <c r="D12" s="95">
        <v>3</v>
      </c>
      <c r="E12" s="95">
        <v>3</v>
      </c>
      <c r="F12" s="95">
        <v>0.3</v>
      </c>
      <c r="G12" s="95">
        <v>0.4</v>
      </c>
      <c r="H12" s="95">
        <v>0.15</v>
      </c>
      <c r="I12" s="95">
        <v>0.15</v>
      </c>
      <c r="J12" s="95">
        <f t="shared" si="5"/>
        <v>2.7</v>
      </c>
      <c r="K12" s="95">
        <f t="shared" si="0"/>
        <v>5.4</v>
      </c>
      <c r="L12" s="95">
        <f t="shared" si="1"/>
        <v>3</v>
      </c>
      <c r="M12" s="24" t="str">
        <f t="shared" si="2"/>
        <v>NO</v>
      </c>
      <c r="N12" s="24">
        <f t="shared" si="6"/>
        <v>2.7</v>
      </c>
      <c r="O12" s="24">
        <f t="shared" si="3"/>
        <v>1</v>
      </c>
      <c r="P12" s="24">
        <f t="shared" si="4"/>
        <v>3</v>
      </c>
    </row>
    <row r="13" spans="1:16" x14ac:dyDescent="0.25">
      <c r="A13" s="24" t="s">
        <v>157</v>
      </c>
      <c r="B13" s="95">
        <v>2</v>
      </c>
      <c r="C13" s="95">
        <v>3</v>
      </c>
      <c r="D13" s="95">
        <v>3</v>
      </c>
      <c r="E13" s="95">
        <v>3</v>
      </c>
      <c r="F13" s="95">
        <v>0.3</v>
      </c>
      <c r="G13" s="95">
        <v>0.4</v>
      </c>
      <c r="H13" s="95">
        <v>0.15</v>
      </c>
      <c r="I13" s="95">
        <v>0.15</v>
      </c>
      <c r="J13" s="95">
        <f t="shared" si="5"/>
        <v>2.7</v>
      </c>
      <c r="K13" s="95">
        <f t="shared" si="0"/>
        <v>5.4</v>
      </c>
      <c r="L13" s="95">
        <f t="shared" si="1"/>
        <v>3</v>
      </c>
      <c r="M13" s="24" t="str">
        <f t="shared" si="2"/>
        <v>YES</v>
      </c>
      <c r="N13" s="24">
        <f t="shared" si="6"/>
        <v>2.7</v>
      </c>
      <c r="O13" s="24">
        <f t="shared" si="3"/>
        <v>1</v>
      </c>
      <c r="P13" s="24">
        <f t="shared" si="4"/>
        <v>3</v>
      </c>
    </row>
    <row r="14" spans="1:16" x14ac:dyDescent="0.25">
      <c r="A14" s="24" t="s">
        <v>126</v>
      </c>
      <c r="B14" s="95">
        <v>2</v>
      </c>
      <c r="C14" s="95">
        <v>3</v>
      </c>
      <c r="D14" s="95">
        <v>3</v>
      </c>
      <c r="E14" s="95">
        <v>3</v>
      </c>
      <c r="F14" s="95">
        <v>0.3</v>
      </c>
      <c r="G14" s="95">
        <v>0.4</v>
      </c>
      <c r="H14" s="95">
        <v>0.15</v>
      </c>
      <c r="I14" s="95">
        <v>0.15</v>
      </c>
      <c r="J14" s="95">
        <f t="shared" si="5"/>
        <v>2.7</v>
      </c>
      <c r="K14" s="95">
        <f t="shared" si="0"/>
        <v>5.4</v>
      </c>
      <c r="L14" s="95">
        <f t="shared" si="1"/>
        <v>3</v>
      </c>
      <c r="M14" s="24" t="str">
        <f t="shared" si="2"/>
        <v>NO</v>
      </c>
      <c r="N14" s="24">
        <f t="shared" si="6"/>
        <v>2.7</v>
      </c>
      <c r="O14" s="24">
        <f t="shared" si="3"/>
        <v>1</v>
      </c>
      <c r="P14" s="24">
        <f t="shared" si="4"/>
        <v>3</v>
      </c>
    </row>
    <row r="15" spans="1:16" x14ac:dyDescent="0.25">
      <c r="A15" s="24" t="s">
        <v>158</v>
      </c>
      <c r="B15" s="95">
        <v>2</v>
      </c>
      <c r="C15" s="95">
        <v>1</v>
      </c>
      <c r="D15" s="95">
        <v>2</v>
      </c>
      <c r="E15" s="95">
        <v>1</v>
      </c>
      <c r="F15" s="95">
        <v>0.3</v>
      </c>
      <c r="G15" s="95">
        <v>0.4</v>
      </c>
      <c r="H15" s="95">
        <v>0.15</v>
      </c>
      <c r="I15" s="95">
        <v>0.15</v>
      </c>
      <c r="J15" s="95">
        <f t="shared" si="5"/>
        <v>1.45</v>
      </c>
      <c r="K15" s="95">
        <f t="shared" si="0"/>
        <v>2.9</v>
      </c>
      <c r="L15" s="95">
        <f t="shared" si="1"/>
        <v>2</v>
      </c>
      <c r="M15" s="24" t="str">
        <f t="shared" si="2"/>
        <v>NO</v>
      </c>
      <c r="N15" s="24">
        <f t="shared" si="6"/>
        <v>1.45</v>
      </c>
      <c r="O15" s="24">
        <f t="shared" si="3"/>
        <v>56</v>
      </c>
      <c r="P15" s="24">
        <f t="shared" si="4"/>
        <v>1</v>
      </c>
    </row>
    <row r="16" spans="1:16" x14ac:dyDescent="0.25">
      <c r="A16" s="24" t="s">
        <v>470</v>
      </c>
      <c r="B16" s="95">
        <v>2</v>
      </c>
      <c r="C16" s="95">
        <v>2</v>
      </c>
      <c r="D16" s="95">
        <v>2</v>
      </c>
      <c r="E16" s="95">
        <v>2</v>
      </c>
      <c r="F16" s="95">
        <v>0.3</v>
      </c>
      <c r="G16" s="95">
        <v>0.4</v>
      </c>
      <c r="H16" s="95">
        <v>0.15</v>
      </c>
      <c r="I16" s="95">
        <v>0.15</v>
      </c>
      <c r="J16" s="95">
        <f t="shared" si="5"/>
        <v>2</v>
      </c>
      <c r="K16" s="95">
        <f t="shared" si="0"/>
        <v>4</v>
      </c>
      <c r="L16" s="95">
        <f t="shared" si="1"/>
        <v>3</v>
      </c>
      <c r="M16" s="24" t="str">
        <f>IF(OR(A16="Pancasila",A16="Kewarganegaraan",A16="Bahasa Inggris",LEFT(A16,2)="PAI"),"YES","NO")</f>
        <v>NO</v>
      </c>
      <c r="N16" s="24">
        <f t="shared" si="6"/>
        <v>2</v>
      </c>
      <c r="O16" s="24">
        <f t="shared" si="3"/>
        <v>47</v>
      </c>
      <c r="P16" s="24">
        <f t="shared" si="4"/>
        <v>2</v>
      </c>
    </row>
    <row r="17" spans="1:16" x14ac:dyDescent="0.25">
      <c r="A17" s="24" t="s">
        <v>471</v>
      </c>
      <c r="B17" s="95">
        <v>2</v>
      </c>
      <c r="C17" s="95">
        <v>3</v>
      </c>
      <c r="D17" s="95">
        <v>3</v>
      </c>
      <c r="E17" s="95">
        <v>3</v>
      </c>
      <c r="F17" s="95">
        <v>0.3</v>
      </c>
      <c r="G17" s="95">
        <v>0.4</v>
      </c>
      <c r="H17" s="95">
        <v>0.15</v>
      </c>
      <c r="I17" s="95">
        <v>0.15</v>
      </c>
      <c r="J17" s="95">
        <f t="shared" si="5"/>
        <v>2.7</v>
      </c>
      <c r="K17" s="95">
        <f t="shared" si="0"/>
        <v>5.4</v>
      </c>
      <c r="L17" s="95">
        <f t="shared" si="1"/>
        <v>3</v>
      </c>
      <c r="M17" s="24" t="str">
        <f t="shared" si="2"/>
        <v>NO</v>
      </c>
      <c r="N17" s="24">
        <f t="shared" si="6"/>
        <v>2.7</v>
      </c>
      <c r="O17" s="24">
        <f t="shared" si="3"/>
        <v>1</v>
      </c>
      <c r="P17" s="24">
        <f t="shared" si="4"/>
        <v>3</v>
      </c>
    </row>
    <row r="18" spans="1:16" x14ac:dyDescent="0.25">
      <c r="A18" s="24" t="s">
        <v>472</v>
      </c>
      <c r="B18" s="95">
        <v>2</v>
      </c>
      <c r="C18" s="95">
        <v>3</v>
      </c>
      <c r="D18" s="95">
        <v>3</v>
      </c>
      <c r="E18" s="95">
        <v>3</v>
      </c>
      <c r="F18" s="95">
        <v>0.3</v>
      </c>
      <c r="G18" s="95">
        <v>0.4</v>
      </c>
      <c r="H18" s="95">
        <v>0.15</v>
      </c>
      <c r="I18" s="95">
        <v>0.15</v>
      </c>
      <c r="J18" s="95">
        <f t="shared" si="5"/>
        <v>2.7</v>
      </c>
      <c r="K18" s="95">
        <f t="shared" si="0"/>
        <v>5.4</v>
      </c>
      <c r="L18" s="95">
        <f t="shared" si="1"/>
        <v>3</v>
      </c>
      <c r="M18" s="24" t="str">
        <f t="shared" si="2"/>
        <v>NO</v>
      </c>
      <c r="N18" s="24">
        <f t="shared" si="6"/>
        <v>2.7</v>
      </c>
      <c r="O18" s="24">
        <f t="shared" si="3"/>
        <v>1</v>
      </c>
      <c r="P18" s="24">
        <f t="shared" si="4"/>
        <v>3</v>
      </c>
    </row>
    <row r="19" spans="1:16" x14ac:dyDescent="0.25">
      <c r="A19" s="24" t="s">
        <v>93</v>
      </c>
      <c r="B19" s="95">
        <v>2</v>
      </c>
      <c r="C19" s="95">
        <v>3</v>
      </c>
      <c r="D19" s="95">
        <v>3</v>
      </c>
      <c r="E19" s="95">
        <v>3</v>
      </c>
      <c r="F19" s="95">
        <v>0.3</v>
      </c>
      <c r="G19" s="95">
        <v>0.4</v>
      </c>
      <c r="H19" s="95">
        <v>0.15</v>
      </c>
      <c r="I19" s="95">
        <v>0.15</v>
      </c>
      <c r="J19" s="95">
        <f t="shared" si="5"/>
        <v>2.7</v>
      </c>
      <c r="K19" s="95">
        <f t="shared" si="0"/>
        <v>5.4</v>
      </c>
      <c r="L19" s="95">
        <f t="shared" si="1"/>
        <v>3</v>
      </c>
      <c r="M19" s="24" t="str">
        <f t="shared" si="2"/>
        <v>NO</v>
      </c>
      <c r="N19" s="24">
        <f t="shared" si="6"/>
        <v>2.7</v>
      </c>
      <c r="O19" s="24">
        <f t="shared" si="3"/>
        <v>1</v>
      </c>
      <c r="P19" s="24">
        <f t="shared" si="4"/>
        <v>3</v>
      </c>
    </row>
    <row r="20" spans="1:16" x14ac:dyDescent="0.25">
      <c r="A20" s="24" t="s">
        <v>83</v>
      </c>
      <c r="B20" s="95">
        <v>2</v>
      </c>
      <c r="C20" s="95">
        <v>3</v>
      </c>
      <c r="D20" s="95">
        <v>3</v>
      </c>
      <c r="E20" s="95">
        <v>3</v>
      </c>
      <c r="F20" s="95">
        <v>0.3</v>
      </c>
      <c r="G20" s="95">
        <v>0.4</v>
      </c>
      <c r="H20" s="95">
        <v>0.15</v>
      </c>
      <c r="I20" s="95">
        <v>0.15</v>
      </c>
      <c r="J20" s="95">
        <f t="shared" si="5"/>
        <v>2.7</v>
      </c>
      <c r="K20" s="95">
        <f t="shared" si="0"/>
        <v>5.4</v>
      </c>
      <c r="L20" s="95">
        <f t="shared" si="1"/>
        <v>3</v>
      </c>
      <c r="M20" s="24" t="str">
        <f t="shared" si="2"/>
        <v>NO</v>
      </c>
      <c r="N20" s="24">
        <f t="shared" si="6"/>
        <v>2.7</v>
      </c>
      <c r="O20" s="24">
        <f t="shared" si="3"/>
        <v>1</v>
      </c>
      <c r="P20" s="24">
        <f t="shared" si="4"/>
        <v>3</v>
      </c>
    </row>
    <row r="21" spans="1:16" x14ac:dyDescent="0.25">
      <c r="A21" s="24" t="s">
        <v>473</v>
      </c>
      <c r="B21" s="95">
        <v>2</v>
      </c>
      <c r="C21" s="95">
        <v>3</v>
      </c>
      <c r="D21" s="95">
        <v>3</v>
      </c>
      <c r="E21" s="95">
        <v>3</v>
      </c>
      <c r="F21" s="95">
        <v>0.3</v>
      </c>
      <c r="G21" s="95">
        <v>0.4</v>
      </c>
      <c r="H21" s="95">
        <v>0.15</v>
      </c>
      <c r="I21" s="95">
        <v>0.15</v>
      </c>
      <c r="J21" s="95">
        <f t="shared" si="5"/>
        <v>2.7</v>
      </c>
      <c r="K21" s="95">
        <f t="shared" si="0"/>
        <v>5.4</v>
      </c>
      <c r="L21" s="95">
        <f t="shared" si="1"/>
        <v>3</v>
      </c>
      <c r="M21" s="24" t="str">
        <f t="shared" si="2"/>
        <v>NO</v>
      </c>
      <c r="N21" s="24">
        <f t="shared" si="6"/>
        <v>2.7</v>
      </c>
      <c r="O21" s="24">
        <f t="shared" si="3"/>
        <v>1</v>
      </c>
      <c r="P21" s="24">
        <f t="shared" si="4"/>
        <v>3</v>
      </c>
    </row>
    <row r="22" spans="1:16" x14ac:dyDescent="0.25">
      <c r="A22" s="24" t="s">
        <v>474</v>
      </c>
      <c r="B22" s="95">
        <v>2</v>
      </c>
      <c r="C22" s="95">
        <v>3</v>
      </c>
      <c r="D22" s="95">
        <v>3</v>
      </c>
      <c r="E22" s="95">
        <v>3</v>
      </c>
      <c r="F22" s="95">
        <v>0.3</v>
      </c>
      <c r="G22" s="95">
        <v>0.4</v>
      </c>
      <c r="H22" s="95">
        <v>0.15</v>
      </c>
      <c r="I22" s="95">
        <v>0.15</v>
      </c>
      <c r="J22" s="95">
        <f t="shared" si="5"/>
        <v>2.7</v>
      </c>
      <c r="K22" s="95">
        <f t="shared" si="0"/>
        <v>5.4</v>
      </c>
      <c r="L22" s="95">
        <f t="shared" si="1"/>
        <v>3</v>
      </c>
      <c r="M22" s="24" t="str">
        <f t="shared" si="2"/>
        <v>NO</v>
      </c>
      <c r="N22" s="24">
        <f t="shared" si="6"/>
        <v>2.7</v>
      </c>
      <c r="O22" s="24">
        <f t="shared" si="3"/>
        <v>1</v>
      </c>
      <c r="P22" s="24">
        <f t="shared" si="4"/>
        <v>3</v>
      </c>
    </row>
    <row r="23" spans="1:16" x14ac:dyDescent="0.25">
      <c r="A23" s="24" t="s">
        <v>475</v>
      </c>
      <c r="B23" s="95">
        <v>2</v>
      </c>
      <c r="C23" s="95">
        <v>2</v>
      </c>
      <c r="D23" s="95">
        <v>2</v>
      </c>
      <c r="E23" s="95">
        <v>2</v>
      </c>
      <c r="F23" s="95">
        <v>0.3</v>
      </c>
      <c r="G23" s="95">
        <v>0.4</v>
      </c>
      <c r="H23" s="95">
        <v>0.15</v>
      </c>
      <c r="I23" s="95">
        <v>0.15</v>
      </c>
      <c r="J23" s="95">
        <f t="shared" si="5"/>
        <v>2</v>
      </c>
      <c r="K23" s="95">
        <f t="shared" si="0"/>
        <v>4</v>
      </c>
      <c r="L23" s="95">
        <f t="shared" si="1"/>
        <v>3</v>
      </c>
      <c r="M23" s="24" t="str">
        <f>IF(OR(A23="Pancasila",A23="Kewarganegaraan",A23="Bahasa Inggris",LEFT(A23,2)="PAI"),"YES","NO")</f>
        <v>NO</v>
      </c>
      <c r="N23" s="24">
        <f t="shared" si="6"/>
        <v>2</v>
      </c>
      <c r="O23" s="24">
        <f t="shared" si="3"/>
        <v>47</v>
      </c>
      <c r="P23" s="24">
        <f t="shared" si="4"/>
        <v>2</v>
      </c>
    </row>
    <row r="24" spans="1:16" x14ac:dyDescent="0.25">
      <c r="A24" s="24" t="s">
        <v>476</v>
      </c>
      <c r="B24" s="95">
        <v>2</v>
      </c>
      <c r="C24" s="95">
        <v>3</v>
      </c>
      <c r="D24" s="95">
        <v>3</v>
      </c>
      <c r="E24" s="95">
        <v>3</v>
      </c>
      <c r="F24" s="95">
        <v>0.3</v>
      </c>
      <c r="G24" s="95">
        <v>0.4</v>
      </c>
      <c r="H24" s="95">
        <v>0.15</v>
      </c>
      <c r="I24" s="95">
        <v>0.15</v>
      </c>
      <c r="J24" s="95">
        <f t="shared" si="5"/>
        <v>2.7</v>
      </c>
      <c r="K24" s="95">
        <f t="shared" si="0"/>
        <v>5.4</v>
      </c>
      <c r="L24" s="95">
        <f t="shared" si="1"/>
        <v>3</v>
      </c>
      <c r="M24" s="24" t="str">
        <f t="shared" si="2"/>
        <v>NO</v>
      </c>
      <c r="N24" s="24">
        <f t="shared" si="6"/>
        <v>2.7</v>
      </c>
      <c r="O24" s="24">
        <f t="shared" si="3"/>
        <v>1</v>
      </c>
      <c r="P24" s="24">
        <f t="shared" si="4"/>
        <v>3</v>
      </c>
    </row>
    <row r="25" spans="1:16" x14ac:dyDescent="0.25">
      <c r="A25" s="24" t="s">
        <v>477</v>
      </c>
      <c r="B25" s="95">
        <v>2</v>
      </c>
      <c r="C25" s="95">
        <v>3</v>
      </c>
      <c r="D25" s="95">
        <v>3</v>
      </c>
      <c r="E25" s="95">
        <v>3</v>
      </c>
      <c r="F25" s="95">
        <v>0.3</v>
      </c>
      <c r="G25" s="95">
        <v>0.4</v>
      </c>
      <c r="H25" s="95">
        <v>0.15</v>
      </c>
      <c r="I25" s="95">
        <v>0.15</v>
      </c>
      <c r="J25" s="95">
        <f t="shared" si="5"/>
        <v>2.7</v>
      </c>
      <c r="K25" s="95">
        <f t="shared" si="0"/>
        <v>5.4</v>
      </c>
      <c r="L25" s="95">
        <f t="shared" si="1"/>
        <v>3</v>
      </c>
      <c r="M25" s="24" t="str">
        <f t="shared" si="2"/>
        <v>NO</v>
      </c>
      <c r="N25" s="24">
        <f t="shared" si="6"/>
        <v>2.7</v>
      </c>
      <c r="O25" s="24">
        <f t="shared" si="3"/>
        <v>1</v>
      </c>
      <c r="P25" s="24">
        <f t="shared" si="4"/>
        <v>3</v>
      </c>
    </row>
    <row r="26" spans="1:16" x14ac:dyDescent="0.25">
      <c r="A26" s="24" t="s">
        <v>428</v>
      </c>
      <c r="B26" s="95">
        <v>2</v>
      </c>
      <c r="C26" s="95">
        <v>3</v>
      </c>
      <c r="D26" s="95">
        <v>3</v>
      </c>
      <c r="E26" s="95">
        <v>3</v>
      </c>
      <c r="F26" s="95">
        <v>0.3</v>
      </c>
      <c r="G26" s="95">
        <v>0.4</v>
      </c>
      <c r="H26" s="95">
        <v>0.15</v>
      </c>
      <c r="I26" s="95">
        <v>0.15</v>
      </c>
      <c r="J26" s="95">
        <f t="shared" si="5"/>
        <v>2.7</v>
      </c>
      <c r="K26" s="95">
        <f t="shared" si="0"/>
        <v>5.4</v>
      </c>
      <c r="L26" s="95">
        <f t="shared" si="1"/>
        <v>3</v>
      </c>
      <c r="M26" s="24" t="str">
        <f t="shared" si="2"/>
        <v>NO</v>
      </c>
      <c r="N26" s="24">
        <f t="shared" si="6"/>
        <v>2.7</v>
      </c>
      <c r="O26" s="24">
        <f t="shared" si="3"/>
        <v>1</v>
      </c>
      <c r="P26" s="24">
        <f t="shared" si="4"/>
        <v>3</v>
      </c>
    </row>
    <row r="27" spans="1:16" x14ac:dyDescent="0.25">
      <c r="A27" s="24" t="s">
        <v>86</v>
      </c>
      <c r="B27" s="95">
        <v>2</v>
      </c>
      <c r="C27" s="95">
        <v>3</v>
      </c>
      <c r="D27" s="95">
        <v>3</v>
      </c>
      <c r="E27" s="95">
        <v>3</v>
      </c>
      <c r="F27" s="95">
        <v>0.3</v>
      </c>
      <c r="G27" s="95">
        <v>0.4</v>
      </c>
      <c r="H27" s="95">
        <v>0.15</v>
      </c>
      <c r="I27" s="95">
        <v>0.15</v>
      </c>
      <c r="J27" s="95">
        <f t="shared" si="5"/>
        <v>2.7</v>
      </c>
      <c r="K27" s="95">
        <f t="shared" si="0"/>
        <v>5.4</v>
      </c>
      <c r="L27" s="95">
        <f t="shared" si="1"/>
        <v>3</v>
      </c>
      <c r="M27" s="24" t="str">
        <f t="shared" si="2"/>
        <v>NO</v>
      </c>
      <c r="N27" s="24">
        <f t="shared" si="6"/>
        <v>2.7</v>
      </c>
      <c r="O27" s="24">
        <f t="shared" si="3"/>
        <v>1</v>
      </c>
      <c r="P27" s="24">
        <f t="shared" si="4"/>
        <v>3</v>
      </c>
    </row>
    <row r="28" spans="1:16" x14ac:dyDescent="0.25">
      <c r="A28" s="24" t="s">
        <v>87</v>
      </c>
      <c r="B28" s="95">
        <v>2</v>
      </c>
      <c r="C28" s="95">
        <v>3</v>
      </c>
      <c r="D28" s="95">
        <v>3</v>
      </c>
      <c r="E28" s="95">
        <v>3</v>
      </c>
      <c r="F28" s="95">
        <v>0.3</v>
      </c>
      <c r="G28" s="95">
        <v>0.4</v>
      </c>
      <c r="H28" s="95">
        <v>0.15</v>
      </c>
      <c r="I28" s="95">
        <v>0.15</v>
      </c>
      <c r="J28" s="95">
        <f t="shared" si="5"/>
        <v>2.7</v>
      </c>
      <c r="K28" s="95">
        <f t="shared" si="0"/>
        <v>5.4</v>
      </c>
      <c r="L28" s="95">
        <f t="shared" si="1"/>
        <v>3</v>
      </c>
      <c r="M28" s="24" t="str">
        <f t="shared" si="2"/>
        <v>NO</v>
      </c>
      <c r="N28" s="24">
        <f t="shared" si="6"/>
        <v>2.7</v>
      </c>
      <c r="O28" s="24">
        <f t="shared" si="3"/>
        <v>1</v>
      </c>
      <c r="P28" s="24">
        <f t="shared" si="4"/>
        <v>3</v>
      </c>
    </row>
    <row r="29" spans="1:16" x14ac:dyDescent="0.25">
      <c r="A29" s="24" t="s">
        <v>478</v>
      </c>
      <c r="B29" s="95">
        <v>2</v>
      </c>
      <c r="C29" s="95">
        <v>3</v>
      </c>
      <c r="D29" s="95">
        <v>3</v>
      </c>
      <c r="E29" s="95">
        <v>3</v>
      </c>
      <c r="F29" s="95">
        <v>0.3</v>
      </c>
      <c r="G29" s="95">
        <v>0.4</v>
      </c>
      <c r="H29" s="95">
        <v>0.15</v>
      </c>
      <c r="I29" s="95">
        <v>0.15</v>
      </c>
      <c r="J29" s="95">
        <f t="shared" si="5"/>
        <v>2.7</v>
      </c>
      <c r="K29" s="95">
        <f t="shared" si="0"/>
        <v>5.4</v>
      </c>
      <c r="L29" s="95">
        <f t="shared" si="1"/>
        <v>3</v>
      </c>
      <c r="M29" s="24" t="str">
        <f t="shared" si="2"/>
        <v>NO</v>
      </c>
      <c r="N29" s="24">
        <f t="shared" si="6"/>
        <v>2.7</v>
      </c>
      <c r="O29" s="24">
        <f t="shared" si="3"/>
        <v>1</v>
      </c>
      <c r="P29" s="24">
        <f t="shared" si="4"/>
        <v>3</v>
      </c>
    </row>
    <row r="30" spans="1:16" x14ac:dyDescent="0.25">
      <c r="A30" s="24" t="s">
        <v>431</v>
      </c>
      <c r="B30" s="95">
        <v>2</v>
      </c>
      <c r="C30" s="95">
        <v>2</v>
      </c>
      <c r="D30" s="95">
        <v>2</v>
      </c>
      <c r="E30" s="95">
        <v>2</v>
      </c>
      <c r="F30" s="95">
        <v>0.3</v>
      </c>
      <c r="G30" s="95">
        <v>0.4</v>
      </c>
      <c r="H30" s="95">
        <v>0.15</v>
      </c>
      <c r="I30" s="95">
        <v>0.15</v>
      </c>
      <c r="J30" s="95">
        <f t="shared" si="5"/>
        <v>2</v>
      </c>
      <c r="K30" s="95">
        <f t="shared" si="0"/>
        <v>4</v>
      </c>
      <c r="L30" s="95">
        <f t="shared" si="1"/>
        <v>3</v>
      </c>
      <c r="M30" s="24" t="str">
        <f>IF(OR(A30="Pancasila",A30="Kewarganegaraan",A30="Bahasa Inggris",LEFT(A30,2)="PAI"),"YES","NO")</f>
        <v>NO</v>
      </c>
      <c r="N30" s="24">
        <f t="shared" si="6"/>
        <v>2</v>
      </c>
      <c r="O30" s="24">
        <f t="shared" si="3"/>
        <v>47</v>
      </c>
      <c r="P30" s="24">
        <f t="shared" si="4"/>
        <v>2</v>
      </c>
    </row>
    <row r="31" spans="1:16" x14ac:dyDescent="0.25">
      <c r="A31" s="24" t="s">
        <v>479</v>
      </c>
      <c r="B31" s="95">
        <v>2</v>
      </c>
      <c r="C31" s="95">
        <v>3</v>
      </c>
      <c r="D31" s="95">
        <v>3</v>
      </c>
      <c r="E31" s="95">
        <v>3</v>
      </c>
      <c r="F31" s="95">
        <v>0.3</v>
      </c>
      <c r="G31" s="95">
        <v>0.4</v>
      </c>
      <c r="H31" s="95">
        <v>0.15</v>
      </c>
      <c r="I31" s="95">
        <v>0.15</v>
      </c>
      <c r="J31" s="95">
        <f t="shared" si="5"/>
        <v>2.7</v>
      </c>
      <c r="K31" s="95">
        <f t="shared" si="0"/>
        <v>5.4</v>
      </c>
      <c r="L31" s="95">
        <f t="shared" si="1"/>
        <v>3</v>
      </c>
      <c r="M31" s="24" t="str">
        <f t="shared" si="2"/>
        <v>NO</v>
      </c>
      <c r="N31" s="24">
        <f t="shared" si="6"/>
        <v>2.7</v>
      </c>
      <c r="O31" s="24">
        <f t="shared" si="3"/>
        <v>1</v>
      </c>
      <c r="P31" s="24">
        <f t="shared" si="4"/>
        <v>3</v>
      </c>
    </row>
    <row r="32" spans="1:16" x14ac:dyDescent="0.25">
      <c r="A32" s="24" t="s">
        <v>80</v>
      </c>
      <c r="B32" s="95">
        <v>2</v>
      </c>
      <c r="C32" s="95">
        <v>3</v>
      </c>
      <c r="D32" s="95">
        <v>3</v>
      </c>
      <c r="E32" s="95">
        <v>3</v>
      </c>
      <c r="F32" s="95">
        <v>0.3</v>
      </c>
      <c r="G32" s="95">
        <v>0.4</v>
      </c>
      <c r="H32" s="95">
        <v>0.15</v>
      </c>
      <c r="I32" s="95">
        <v>0.15</v>
      </c>
      <c r="J32" s="95">
        <f t="shared" si="5"/>
        <v>2.7</v>
      </c>
      <c r="K32" s="95">
        <f t="shared" si="0"/>
        <v>5.4</v>
      </c>
      <c r="L32" s="95">
        <f t="shared" si="1"/>
        <v>3</v>
      </c>
      <c r="M32" s="24" t="str">
        <f t="shared" si="2"/>
        <v>NO</v>
      </c>
      <c r="N32" s="24">
        <f t="shared" si="6"/>
        <v>2.7</v>
      </c>
      <c r="O32" s="24">
        <f t="shared" si="3"/>
        <v>1</v>
      </c>
      <c r="P32" s="24">
        <f t="shared" si="4"/>
        <v>3</v>
      </c>
    </row>
    <row r="33" spans="1:16" x14ac:dyDescent="0.25">
      <c r="A33" s="24" t="s">
        <v>480</v>
      </c>
      <c r="B33" s="95">
        <v>2</v>
      </c>
      <c r="C33" s="95">
        <v>3</v>
      </c>
      <c r="D33" s="95">
        <v>3</v>
      </c>
      <c r="E33" s="95">
        <v>3</v>
      </c>
      <c r="F33" s="95">
        <v>0.3</v>
      </c>
      <c r="G33" s="95">
        <v>0.4</v>
      </c>
      <c r="H33" s="95">
        <v>0.15</v>
      </c>
      <c r="I33" s="95">
        <v>0.15</v>
      </c>
      <c r="J33" s="95">
        <f t="shared" si="5"/>
        <v>2.7</v>
      </c>
      <c r="K33" s="95">
        <f t="shared" si="0"/>
        <v>5.4</v>
      </c>
      <c r="L33" s="95">
        <f t="shared" si="1"/>
        <v>3</v>
      </c>
      <c r="M33" s="24" t="str">
        <f t="shared" si="2"/>
        <v>NO</v>
      </c>
      <c r="N33" s="24">
        <f t="shared" si="6"/>
        <v>2.7</v>
      </c>
      <c r="O33" s="24">
        <f t="shared" si="3"/>
        <v>1</v>
      </c>
      <c r="P33" s="24">
        <f t="shared" si="4"/>
        <v>3</v>
      </c>
    </row>
    <row r="34" spans="1:16" x14ac:dyDescent="0.25">
      <c r="A34" s="24" t="s">
        <v>481</v>
      </c>
      <c r="B34" s="95">
        <v>2</v>
      </c>
      <c r="C34" s="95">
        <v>3</v>
      </c>
      <c r="D34" s="95">
        <v>3</v>
      </c>
      <c r="E34" s="95">
        <v>3</v>
      </c>
      <c r="F34" s="95">
        <v>0.3</v>
      </c>
      <c r="G34" s="95">
        <v>0.4</v>
      </c>
      <c r="H34" s="95">
        <v>0.15</v>
      </c>
      <c r="I34" s="95">
        <v>0.15</v>
      </c>
      <c r="J34" s="95">
        <f t="shared" si="5"/>
        <v>2.7</v>
      </c>
      <c r="K34" s="95">
        <f t="shared" si="0"/>
        <v>5.4</v>
      </c>
      <c r="L34" s="95">
        <f t="shared" si="1"/>
        <v>3</v>
      </c>
      <c r="M34" s="24" t="str">
        <f t="shared" si="2"/>
        <v>NO</v>
      </c>
      <c r="N34" s="24">
        <f t="shared" si="6"/>
        <v>2.7</v>
      </c>
      <c r="O34" s="24">
        <f t="shared" si="3"/>
        <v>1</v>
      </c>
      <c r="P34" s="24">
        <f t="shared" si="4"/>
        <v>3</v>
      </c>
    </row>
    <row r="35" spans="1:16" x14ac:dyDescent="0.25">
      <c r="A35" s="24" t="s">
        <v>482</v>
      </c>
      <c r="B35" s="95">
        <v>2</v>
      </c>
      <c r="C35" s="95">
        <v>3</v>
      </c>
      <c r="D35" s="95">
        <v>3</v>
      </c>
      <c r="E35" s="95">
        <v>3</v>
      </c>
      <c r="F35" s="95">
        <v>0.3</v>
      </c>
      <c r="G35" s="95">
        <v>0.4</v>
      </c>
      <c r="H35" s="95">
        <v>0.15</v>
      </c>
      <c r="I35" s="95">
        <v>0.15</v>
      </c>
      <c r="J35" s="95">
        <f t="shared" si="5"/>
        <v>2.7</v>
      </c>
      <c r="K35" s="95">
        <f t="shared" si="0"/>
        <v>5.4</v>
      </c>
      <c r="L35" s="95">
        <f t="shared" si="1"/>
        <v>3</v>
      </c>
      <c r="M35" s="24" t="str">
        <f t="shared" si="2"/>
        <v>NO</v>
      </c>
      <c r="N35" s="24">
        <f t="shared" si="6"/>
        <v>2.7</v>
      </c>
      <c r="O35" s="24">
        <f t="shared" si="3"/>
        <v>1</v>
      </c>
      <c r="P35" s="24">
        <f t="shared" si="4"/>
        <v>3</v>
      </c>
    </row>
    <row r="36" spans="1:16" x14ac:dyDescent="0.25">
      <c r="A36" s="24" t="s">
        <v>435</v>
      </c>
      <c r="B36" s="95">
        <v>2</v>
      </c>
      <c r="C36" s="95">
        <v>3</v>
      </c>
      <c r="D36" s="95">
        <v>3</v>
      </c>
      <c r="E36" s="95">
        <v>3</v>
      </c>
      <c r="F36" s="95">
        <v>0.3</v>
      </c>
      <c r="G36" s="95">
        <v>0.4</v>
      </c>
      <c r="H36" s="95">
        <v>0.15</v>
      </c>
      <c r="I36" s="95">
        <v>0.15</v>
      </c>
      <c r="J36" s="95">
        <f t="shared" si="5"/>
        <v>2.7</v>
      </c>
      <c r="K36" s="95">
        <f t="shared" si="0"/>
        <v>5.4</v>
      </c>
      <c r="L36" s="95">
        <f t="shared" si="1"/>
        <v>3</v>
      </c>
      <c r="M36" s="24" t="str">
        <f t="shared" si="2"/>
        <v>NO</v>
      </c>
      <c r="N36" s="24">
        <f t="shared" si="6"/>
        <v>2.7</v>
      </c>
      <c r="O36" s="24">
        <f t="shared" si="3"/>
        <v>1</v>
      </c>
      <c r="P36" s="24">
        <f t="shared" si="4"/>
        <v>3</v>
      </c>
    </row>
    <row r="37" spans="1:16" x14ac:dyDescent="0.25">
      <c r="A37" s="24" t="s">
        <v>437</v>
      </c>
      <c r="B37" s="95">
        <v>2</v>
      </c>
      <c r="C37" s="95">
        <v>3</v>
      </c>
      <c r="D37" s="95">
        <v>3</v>
      </c>
      <c r="E37" s="95">
        <v>3</v>
      </c>
      <c r="F37" s="95">
        <v>0.3</v>
      </c>
      <c r="G37" s="95">
        <v>0.4</v>
      </c>
      <c r="H37" s="95">
        <v>0.15</v>
      </c>
      <c r="I37" s="95">
        <v>0.15</v>
      </c>
      <c r="J37" s="95">
        <f t="shared" si="5"/>
        <v>2.7</v>
      </c>
      <c r="K37" s="95">
        <f t="shared" si="0"/>
        <v>5.4</v>
      </c>
      <c r="L37" s="95">
        <f t="shared" si="1"/>
        <v>3</v>
      </c>
      <c r="M37" s="24" t="str">
        <f t="shared" si="2"/>
        <v>NO</v>
      </c>
      <c r="N37" s="24">
        <f t="shared" si="6"/>
        <v>2.7</v>
      </c>
      <c r="O37" s="24">
        <f t="shared" si="3"/>
        <v>1</v>
      </c>
      <c r="P37" s="24">
        <f t="shared" si="4"/>
        <v>3</v>
      </c>
    </row>
    <row r="38" spans="1:16" x14ac:dyDescent="0.25">
      <c r="A38" s="24" t="s">
        <v>438</v>
      </c>
      <c r="B38" s="95">
        <v>2</v>
      </c>
      <c r="C38" s="95">
        <v>2</v>
      </c>
      <c r="D38" s="95">
        <v>2</v>
      </c>
      <c r="E38" s="95">
        <v>2</v>
      </c>
      <c r="F38" s="95">
        <v>0.3</v>
      </c>
      <c r="G38" s="95">
        <v>0.4</v>
      </c>
      <c r="H38" s="95">
        <v>0.15</v>
      </c>
      <c r="I38" s="95">
        <v>0.15</v>
      </c>
      <c r="J38" s="95">
        <f t="shared" si="5"/>
        <v>2</v>
      </c>
      <c r="K38" s="95">
        <f t="shared" si="0"/>
        <v>4</v>
      </c>
      <c r="L38" s="95">
        <f t="shared" si="1"/>
        <v>3</v>
      </c>
      <c r="M38" s="24" t="str">
        <f>IF(OR(A38="Pancasila",A38="Kewarganegaraan",A38="Bahasa Inggris",LEFT(A38,2)="PAI"),"YES","NO")</f>
        <v>NO</v>
      </c>
      <c r="N38" s="24">
        <f t="shared" si="6"/>
        <v>2</v>
      </c>
      <c r="O38" s="24">
        <f t="shared" si="3"/>
        <v>47</v>
      </c>
      <c r="P38" s="24">
        <f t="shared" si="4"/>
        <v>2</v>
      </c>
    </row>
    <row r="39" spans="1:16" x14ac:dyDescent="0.25">
      <c r="A39" s="24" t="s">
        <v>483</v>
      </c>
      <c r="B39" s="95">
        <v>2</v>
      </c>
      <c r="C39" s="95">
        <v>3</v>
      </c>
      <c r="D39" s="95">
        <v>3</v>
      </c>
      <c r="E39" s="95">
        <v>3</v>
      </c>
      <c r="F39" s="95">
        <v>0.3</v>
      </c>
      <c r="G39" s="95">
        <v>0.4</v>
      </c>
      <c r="H39" s="95">
        <v>0.15</v>
      </c>
      <c r="I39" s="95">
        <v>0.15</v>
      </c>
      <c r="J39" s="95">
        <f t="shared" si="5"/>
        <v>2.7</v>
      </c>
      <c r="K39" s="95">
        <f t="shared" si="0"/>
        <v>5.4</v>
      </c>
      <c r="L39" s="95">
        <f t="shared" si="1"/>
        <v>3</v>
      </c>
      <c r="M39" s="24" t="str">
        <f t="shared" si="2"/>
        <v>NO</v>
      </c>
      <c r="N39" s="24">
        <f t="shared" si="6"/>
        <v>2.7</v>
      </c>
      <c r="O39" s="24">
        <f t="shared" si="3"/>
        <v>1</v>
      </c>
      <c r="P39" s="24">
        <f t="shared" si="4"/>
        <v>3</v>
      </c>
    </row>
    <row r="40" spans="1:16" x14ac:dyDescent="0.25">
      <c r="A40" s="24" t="s">
        <v>484</v>
      </c>
      <c r="B40" s="95">
        <v>2</v>
      </c>
      <c r="C40" s="95">
        <v>3</v>
      </c>
      <c r="D40" s="95">
        <v>3</v>
      </c>
      <c r="E40" s="95">
        <v>3</v>
      </c>
      <c r="F40" s="95">
        <v>0.3</v>
      </c>
      <c r="G40" s="95">
        <v>0.4</v>
      </c>
      <c r="H40" s="95">
        <v>0.15</v>
      </c>
      <c r="I40" s="95">
        <v>0.15</v>
      </c>
      <c r="J40" s="95">
        <f t="shared" si="5"/>
        <v>2.7</v>
      </c>
      <c r="K40" s="95">
        <f t="shared" si="0"/>
        <v>5.4</v>
      </c>
      <c r="L40" s="95">
        <f t="shared" si="1"/>
        <v>3</v>
      </c>
      <c r="M40" s="24" t="str">
        <f t="shared" si="2"/>
        <v>NO</v>
      </c>
      <c r="N40" s="24">
        <f t="shared" si="6"/>
        <v>2.7</v>
      </c>
      <c r="O40" s="24">
        <f t="shared" si="3"/>
        <v>1</v>
      </c>
      <c r="P40" s="24">
        <f t="shared" si="4"/>
        <v>3</v>
      </c>
    </row>
    <row r="41" spans="1:16" x14ac:dyDescent="0.25">
      <c r="A41" s="24" t="s">
        <v>98</v>
      </c>
      <c r="B41" s="95">
        <v>2</v>
      </c>
      <c r="C41" s="95">
        <v>3</v>
      </c>
      <c r="D41" s="95">
        <v>3</v>
      </c>
      <c r="E41" s="95">
        <v>3</v>
      </c>
      <c r="F41" s="95">
        <v>0.3</v>
      </c>
      <c r="G41" s="95">
        <v>0.4</v>
      </c>
      <c r="H41" s="95">
        <v>0.15</v>
      </c>
      <c r="I41" s="95">
        <v>0.15</v>
      </c>
      <c r="J41" s="95">
        <f t="shared" si="5"/>
        <v>2.7</v>
      </c>
      <c r="K41" s="95">
        <f t="shared" si="0"/>
        <v>5.4</v>
      </c>
      <c r="L41" s="95">
        <f t="shared" si="1"/>
        <v>3</v>
      </c>
      <c r="M41" s="24" t="str">
        <f t="shared" si="2"/>
        <v>NO</v>
      </c>
      <c r="N41" s="24">
        <f t="shared" si="6"/>
        <v>2.7</v>
      </c>
      <c r="O41" s="24">
        <f t="shared" si="3"/>
        <v>1</v>
      </c>
      <c r="P41" s="24">
        <f t="shared" si="4"/>
        <v>3</v>
      </c>
    </row>
    <row r="42" spans="1:16" x14ac:dyDescent="0.25">
      <c r="A42" s="24" t="s">
        <v>89</v>
      </c>
      <c r="B42" s="95">
        <v>2</v>
      </c>
      <c r="C42" s="95">
        <v>3</v>
      </c>
      <c r="D42" s="95">
        <v>3</v>
      </c>
      <c r="E42" s="95">
        <v>3</v>
      </c>
      <c r="F42" s="95">
        <v>0.3</v>
      </c>
      <c r="G42" s="95">
        <v>0.4</v>
      </c>
      <c r="H42" s="95">
        <v>0.15</v>
      </c>
      <c r="I42" s="95">
        <v>0.15</v>
      </c>
      <c r="J42" s="95">
        <f t="shared" si="5"/>
        <v>2.7</v>
      </c>
      <c r="K42" s="95">
        <f t="shared" si="0"/>
        <v>5.4</v>
      </c>
      <c r="L42" s="95">
        <f t="shared" si="1"/>
        <v>3</v>
      </c>
      <c r="M42" s="24" t="str">
        <f t="shared" si="2"/>
        <v>NO</v>
      </c>
      <c r="N42" s="24">
        <f t="shared" si="6"/>
        <v>2.7</v>
      </c>
      <c r="O42" s="24">
        <f t="shared" si="3"/>
        <v>1</v>
      </c>
      <c r="P42" s="24">
        <f t="shared" si="4"/>
        <v>3</v>
      </c>
    </row>
    <row r="43" spans="1:16" x14ac:dyDescent="0.25">
      <c r="A43" s="24" t="s">
        <v>485</v>
      </c>
      <c r="B43" s="95">
        <v>2</v>
      </c>
      <c r="C43" s="95">
        <v>3</v>
      </c>
      <c r="D43" s="95">
        <v>3</v>
      </c>
      <c r="E43" s="95">
        <v>3</v>
      </c>
      <c r="F43" s="95">
        <v>0.3</v>
      </c>
      <c r="G43" s="95">
        <v>0.4</v>
      </c>
      <c r="H43" s="95">
        <v>0.15</v>
      </c>
      <c r="I43" s="95">
        <v>0.15</v>
      </c>
      <c r="J43" s="95">
        <f t="shared" si="5"/>
        <v>2.7</v>
      </c>
      <c r="K43" s="95">
        <f t="shared" si="0"/>
        <v>5.4</v>
      </c>
      <c r="L43" s="95">
        <f t="shared" si="1"/>
        <v>3</v>
      </c>
      <c r="M43" s="24" t="str">
        <f t="shared" si="2"/>
        <v>NO</v>
      </c>
      <c r="N43" s="24">
        <f t="shared" si="6"/>
        <v>2.7</v>
      </c>
      <c r="O43" s="24">
        <f t="shared" si="3"/>
        <v>1</v>
      </c>
      <c r="P43" s="24">
        <f t="shared" si="4"/>
        <v>3</v>
      </c>
    </row>
    <row r="44" spans="1:16" x14ac:dyDescent="0.25">
      <c r="A44" s="24" t="s">
        <v>104</v>
      </c>
      <c r="B44" s="95">
        <v>2</v>
      </c>
      <c r="C44" s="95">
        <v>3</v>
      </c>
      <c r="D44" s="95">
        <v>3</v>
      </c>
      <c r="E44" s="95">
        <v>3</v>
      </c>
      <c r="F44" s="95">
        <v>0.3</v>
      </c>
      <c r="G44" s="95">
        <v>0.4</v>
      </c>
      <c r="H44" s="95">
        <v>0.15</v>
      </c>
      <c r="I44" s="95">
        <v>0.15</v>
      </c>
      <c r="J44" s="95">
        <f t="shared" si="5"/>
        <v>2.7</v>
      </c>
      <c r="K44" s="95">
        <f t="shared" si="0"/>
        <v>5.4</v>
      </c>
      <c r="L44" s="95">
        <f t="shared" si="1"/>
        <v>3</v>
      </c>
      <c r="M44" s="24" t="str">
        <f t="shared" si="2"/>
        <v>NO</v>
      </c>
      <c r="N44" s="24">
        <f t="shared" si="6"/>
        <v>2.7</v>
      </c>
      <c r="O44" s="24">
        <f t="shared" si="3"/>
        <v>1</v>
      </c>
      <c r="P44" s="24">
        <f t="shared" si="4"/>
        <v>3</v>
      </c>
    </row>
    <row r="45" spans="1:16" x14ac:dyDescent="0.25">
      <c r="A45" s="24" t="s">
        <v>102</v>
      </c>
      <c r="B45" s="95">
        <v>2</v>
      </c>
      <c r="C45" s="95">
        <v>3</v>
      </c>
      <c r="D45" s="95">
        <v>3</v>
      </c>
      <c r="E45" s="95">
        <v>3</v>
      </c>
      <c r="F45" s="95">
        <v>0.3</v>
      </c>
      <c r="G45" s="95">
        <v>0.4</v>
      </c>
      <c r="H45" s="95">
        <v>0.15</v>
      </c>
      <c r="I45" s="95">
        <v>0.15</v>
      </c>
      <c r="J45" s="95">
        <f t="shared" si="5"/>
        <v>2.7</v>
      </c>
      <c r="K45" s="95">
        <f t="shared" si="0"/>
        <v>5.4</v>
      </c>
      <c r="L45" s="95">
        <f t="shared" si="1"/>
        <v>3</v>
      </c>
      <c r="M45" s="24" t="str">
        <f t="shared" si="2"/>
        <v>NO</v>
      </c>
      <c r="N45" s="24">
        <f t="shared" si="6"/>
        <v>2.7</v>
      </c>
      <c r="O45" s="24">
        <f t="shared" si="3"/>
        <v>1</v>
      </c>
      <c r="P45" s="24">
        <f t="shared" si="4"/>
        <v>3</v>
      </c>
    </row>
    <row r="46" spans="1:16" x14ac:dyDescent="0.25">
      <c r="A46" s="24" t="s">
        <v>443</v>
      </c>
      <c r="B46" s="95">
        <v>2</v>
      </c>
      <c r="C46" s="95">
        <v>2</v>
      </c>
      <c r="D46" s="95">
        <v>2</v>
      </c>
      <c r="E46" s="95">
        <v>2</v>
      </c>
      <c r="F46" s="95">
        <v>0.3</v>
      </c>
      <c r="G46" s="95">
        <v>0.4</v>
      </c>
      <c r="H46" s="95">
        <v>0.15</v>
      </c>
      <c r="I46" s="95">
        <v>0.15</v>
      </c>
      <c r="J46" s="95">
        <f t="shared" si="5"/>
        <v>2</v>
      </c>
      <c r="K46" s="95">
        <f t="shared" si="0"/>
        <v>4</v>
      </c>
      <c r="L46" s="95">
        <f t="shared" si="1"/>
        <v>3</v>
      </c>
      <c r="M46" s="24" t="str">
        <f>IF(OR(A46="Pancasila",A46="Kewarganegaraan",A46="Bahasa Inggris",LEFT(A46,2)="PAI"),"YES","NO")</f>
        <v>NO</v>
      </c>
      <c r="N46" s="24">
        <f t="shared" si="6"/>
        <v>2</v>
      </c>
      <c r="O46" s="24">
        <f t="shared" si="3"/>
        <v>47</v>
      </c>
      <c r="P46" s="24">
        <f t="shared" si="4"/>
        <v>2</v>
      </c>
    </row>
    <row r="47" spans="1:16" x14ac:dyDescent="0.25">
      <c r="A47" s="24" t="s">
        <v>486</v>
      </c>
      <c r="B47" s="95">
        <v>2</v>
      </c>
      <c r="C47" s="95">
        <v>3</v>
      </c>
      <c r="D47" s="95">
        <v>3</v>
      </c>
      <c r="E47" s="95">
        <v>3</v>
      </c>
      <c r="F47" s="95">
        <v>0.3</v>
      </c>
      <c r="G47" s="95">
        <v>0.4</v>
      </c>
      <c r="H47" s="95">
        <v>0.15</v>
      </c>
      <c r="I47" s="95">
        <v>0.15</v>
      </c>
      <c r="J47" s="95">
        <f t="shared" si="5"/>
        <v>2.7</v>
      </c>
      <c r="K47" s="95">
        <f t="shared" si="0"/>
        <v>5.4</v>
      </c>
      <c r="L47" s="95">
        <f t="shared" si="1"/>
        <v>3</v>
      </c>
      <c r="M47" s="24" t="str">
        <f t="shared" si="2"/>
        <v>NO</v>
      </c>
      <c r="N47" s="24">
        <f t="shared" si="6"/>
        <v>2.7</v>
      </c>
      <c r="O47" s="24">
        <f t="shared" si="3"/>
        <v>1</v>
      </c>
      <c r="P47" s="24">
        <f t="shared" si="4"/>
        <v>3</v>
      </c>
    </row>
    <row r="48" spans="1:16" x14ac:dyDescent="0.25">
      <c r="A48" s="24" t="s">
        <v>487</v>
      </c>
      <c r="B48" s="95">
        <v>2</v>
      </c>
      <c r="C48" s="95">
        <v>3</v>
      </c>
      <c r="D48" s="95">
        <v>3</v>
      </c>
      <c r="E48" s="95">
        <v>3</v>
      </c>
      <c r="F48" s="95">
        <v>0.3</v>
      </c>
      <c r="G48" s="95">
        <v>0.4</v>
      </c>
      <c r="H48" s="95">
        <v>0.15</v>
      </c>
      <c r="I48" s="95">
        <v>0.15</v>
      </c>
      <c r="J48" s="95">
        <f t="shared" si="5"/>
        <v>2.7</v>
      </c>
      <c r="K48" s="95">
        <f t="shared" si="0"/>
        <v>5.4</v>
      </c>
      <c r="L48" s="95">
        <f t="shared" si="1"/>
        <v>3</v>
      </c>
      <c r="M48" s="24" t="str">
        <f t="shared" si="2"/>
        <v>NO</v>
      </c>
      <c r="N48" s="24">
        <f t="shared" si="6"/>
        <v>2.7</v>
      </c>
      <c r="O48" s="24">
        <f t="shared" si="3"/>
        <v>1</v>
      </c>
      <c r="P48" s="24">
        <f t="shared" si="4"/>
        <v>3</v>
      </c>
    </row>
    <row r="49" spans="1:16" x14ac:dyDescent="0.25">
      <c r="A49" s="24" t="s">
        <v>105</v>
      </c>
      <c r="B49" s="95">
        <v>2</v>
      </c>
      <c r="C49" s="95">
        <v>3</v>
      </c>
      <c r="D49" s="95">
        <v>3</v>
      </c>
      <c r="E49" s="95">
        <v>3</v>
      </c>
      <c r="F49" s="95">
        <v>0.3</v>
      </c>
      <c r="G49" s="95">
        <v>0.4</v>
      </c>
      <c r="H49" s="95">
        <v>0.15</v>
      </c>
      <c r="I49" s="95">
        <v>0.15</v>
      </c>
      <c r="J49" s="95">
        <f t="shared" si="5"/>
        <v>2.7</v>
      </c>
      <c r="K49" s="95">
        <f t="shared" si="0"/>
        <v>5.4</v>
      </c>
      <c r="L49" s="95">
        <f t="shared" si="1"/>
        <v>3</v>
      </c>
      <c r="M49" s="24" t="str">
        <f t="shared" si="2"/>
        <v>NO</v>
      </c>
      <c r="N49" s="24">
        <f t="shared" si="6"/>
        <v>2.7</v>
      </c>
      <c r="O49" s="24">
        <f t="shared" si="3"/>
        <v>1</v>
      </c>
      <c r="P49" s="24">
        <f t="shared" si="4"/>
        <v>3</v>
      </c>
    </row>
    <row r="50" spans="1:16" x14ac:dyDescent="0.25">
      <c r="A50" s="24" t="s">
        <v>407</v>
      </c>
      <c r="B50" s="95">
        <v>2</v>
      </c>
      <c r="C50" s="95">
        <v>3</v>
      </c>
      <c r="D50" s="95">
        <v>3</v>
      </c>
      <c r="E50" s="95">
        <v>3</v>
      </c>
      <c r="F50" s="95">
        <v>0.3</v>
      </c>
      <c r="G50" s="95">
        <v>0.4</v>
      </c>
      <c r="H50" s="95">
        <v>0.15</v>
      </c>
      <c r="I50" s="95">
        <v>0.15</v>
      </c>
      <c r="J50" s="95">
        <f t="shared" si="5"/>
        <v>2.7</v>
      </c>
      <c r="K50" s="95">
        <f t="shared" si="0"/>
        <v>5.4</v>
      </c>
      <c r="L50" s="95">
        <f t="shared" si="1"/>
        <v>3</v>
      </c>
      <c r="M50" s="24" t="str">
        <f t="shared" si="2"/>
        <v>NO</v>
      </c>
      <c r="N50" s="24">
        <f t="shared" si="6"/>
        <v>2.7</v>
      </c>
      <c r="O50" s="24">
        <f t="shared" si="3"/>
        <v>1</v>
      </c>
      <c r="P50" s="24">
        <f t="shared" si="4"/>
        <v>3</v>
      </c>
    </row>
    <row r="51" spans="1:16" x14ac:dyDescent="0.25">
      <c r="A51" s="24" t="s">
        <v>488</v>
      </c>
      <c r="B51" s="95">
        <v>2</v>
      </c>
      <c r="C51" s="95">
        <v>3</v>
      </c>
      <c r="D51" s="95">
        <v>3</v>
      </c>
      <c r="E51" s="95">
        <v>3</v>
      </c>
      <c r="F51" s="95">
        <v>0.3</v>
      </c>
      <c r="G51" s="95">
        <v>0.4</v>
      </c>
      <c r="H51" s="95">
        <v>0.15</v>
      </c>
      <c r="I51" s="95">
        <v>0.15</v>
      </c>
      <c r="J51" s="95">
        <f t="shared" si="5"/>
        <v>2.7</v>
      </c>
      <c r="K51" s="95">
        <f t="shared" si="0"/>
        <v>5.4</v>
      </c>
      <c r="L51" s="95">
        <f t="shared" si="1"/>
        <v>3</v>
      </c>
      <c r="M51" s="24" t="str">
        <f t="shared" si="2"/>
        <v>NO</v>
      </c>
      <c r="N51" s="24">
        <f t="shared" si="6"/>
        <v>2.7</v>
      </c>
      <c r="O51" s="24">
        <f t="shared" si="3"/>
        <v>1</v>
      </c>
      <c r="P51" s="24">
        <f t="shared" si="4"/>
        <v>3</v>
      </c>
    </row>
    <row r="52" spans="1:16" x14ac:dyDescent="0.25">
      <c r="A52" s="24" t="s">
        <v>103</v>
      </c>
      <c r="B52" s="95">
        <v>2</v>
      </c>
      <c r="C52" s="95">
        <v>3</v>
      </c>
      <c r="D52" s="95">
        <v>3</v>
      </c>
      <c r="E52" s="95">
        <v>3</v>
      </c>
      <c r="F52" s="95">
        <v>0.3</v>
      </c>
      <c r="G52" s="95">
        <v>0.4</v>
      </c>
      <c r="H52" s="95">
        <v>0.15</v>
      </c>
      <c r="I52" s="95">
        <v>0.15</v>
      </c>
      <c r="J52" s="95">
        <f t="shared" si="5"/>
        <v>2.7</v>
      </c>
      <c r="K52" s="95">
        <f t="shared" si="0"/>
        <v>5.4</v>
      </c>
      <c r="L52" s="95">
        <f t="shared" si="1"/>
        <v>3</v>
      </c>
      <c r="M52" s="24" t="str">
        <f t="shared" si="2"/>
        <v>NO</v>
      </c>
      <c r="N52" s="24">
        <f t="shared" si="6"/>
        <v>2.7</v>
      </c>
      <c r="O52" s="24">
        <f t="shared" si="3"/>
        <v>1</v>
      </c>
      <c r="P52" s="24">
        <f t="shared" si="4"/>
        <v>3</v>
      </c>
    </row>
    <row r="53" spans="1:16" x14ac:dyDescent="0.25">
      <c r="A53" s="24" t="s">
        <v>489</v>
      </c>
      <c r="B53" s="95">
        <v>2</v>
      </c>
      <c r="C53" s="95">
        <v>3</v>
      </c>
      <c r="D53" s="95">
        <v>3</v>
      </c>
      <c r="E53" s="95">
        <v>3</v>
      </c>
      <c r="F53" s="95">
        <v>0.3</v>
      </c>
      <c r="G53" s="95">
        <v>0.4</v>
      </c>
      <c r="H53" s="95">
        <v>0.15</v>
      </c>
      <c r="I53" s="95">
        <v>0.15</v>
      </c>
      <c r="J53" s="95">
        <f t="shared" si="5"/>
        <v>2.7</v>
      </c>
      <c r="K53" s="95">
        <f t="shared" si="0"/>
        <v>5.4</v>
      </c>
      <c r="L53" s="95">
        <f t="shared" si="1"/>
        <v>3</v>
      </c>
      <c r="M53" s="24" t="str">
        <f t="shared" si="2"/>
        <v>NO</v>
      </c>
      <c r="N53" s="24">
        <f t="shared" si="6"/>
        <v>2.7</v>
      </c>
      <c r="O53" s="24">
        <f t="shared" si="3"/>
        <v>1</v>
      </c>
      <c r="P53" s="24">
        <f t="shared" si="4"/>
        <v>3</v>
      </c>
    </row>
    <row r="54" spans="1:16" x14ac:dyDescent="0.25">
      <c r="A54" s="24" t="s">
        <v>490</v>
      </c>
      <c r="B54" s="95">
        <v>2</v>
      </c>
      <c r="C54" s="95">
        <v>3</v>
      </c>
      <c r="D54" s="95">
        <v>3</v>
      </c>
      <c r="E54" s="95">
        <v>3</v>
      </c>
      <c r="F54" s="95">
        <v>0.3</v>
      </c>
      <c r="G54" s="95">
        <v>0.4</v>
      </c>
      <c r="H54" s="95">
        <v>0.15</v>
      </c>
      <c r="I54" s="95">
        <v>0.15</v>
      </c>
      <c r="J54" s="95">
        <f t="shared" si="5"/>
        <v>2.7</v>
      </c>
      <c r="K54" s="95">
        <f t="shared" si="0"/>
        <v>5.4</v>
      </c>
      <c r="L54" s="95">
        <f t="shared" si="1"/>
        <v>3</v>
      </c>
      <c r="M54" s="24" t="str">
        <f t="shared" si="2"/>
        <v>NO</v>
      </c>
      <c r="N54" s="24">
        <f t="shared" si="6"/>
        <v>2.7</v>
      </c>
      <c r="O54" s="24">
        <f t="shared" si="3"/>
        <v>1</v>
      </c>
      <c r="P54" s="24">
        <f t="shared" si="4"/>
        <v>3</v>
      </c>
    </row>
    <row r="55" spans="1:16" x14ac:dyDescent="0.25">
      <c r="A55" s="24" t="s">
        <v>491</v>
      </c>
      <c r="B55" s="95">
        <v>2</v>
      </c>
      <c r="C55" s="95">
        <v>3</v>
      </c>
      <c r="D55" s="95">
        <v>3</v>
      </c>
      <c r="E55" s="95">
        <v>3</v>
      </c>
      <c r="F55" s="95">
        <v>0.3</v>
      </c>
      <c r="G55" s="95">
        <v>0.4</v>
      </c>
      <c r="H55" s="95">
        <v>0.15</v>
      </c>
      <c r="I55" s="95">
        <v>0.15</v>
      </c>
      <c r="J55" s="95">
        <f t="shared" si="5"/>
        <v>2.7</v>
      </c>
      <c r="K55" s="95">
        <f t="shared" si="0"/>
        <v>5.4</v>
      </c>
      <c r="L55" s="95">
        <f t="shared" si="1"/>
        <v>3</v>
      </c>
      <c r="M55" s="24" t="str">
        <f t="shared" si="2"/>
        <v>NO</v>
      </c>
      <c r="N55" s="24">
        <f t="shared" si="6"/>
        <v>2.7</v>
      </c>
      <c r="O55" s="24">
        <f t="shared" si="3"/>
        <v>1</v>
      </c>
      <c r="P55" s="24">
        <f t="shared" si="4"/>
        <v>3</v>
      </c>
    </row>
    <row r="56" spans="1:16" x14ac:dyDescent="0.25">
      <c r="A56" s="24" t="s">
        <v>112</v>
      </c>
      <c r="B56" s="95">
        <v>2</v>
      </c>
      <c r="C56" s="95">
        <v>3</v>
      </c>
      <c r="D56" s="95">
        <v>3</v>
      </c>
      <c r="E56" s="95">
        <v>3</v>
      </c>
      <c r="F56" s="95">
        <v>0.3</v>
      </c>
      <c r="G56" s="95">
        <v>0.4</v>
      </c>
      <c r="H56" s="95">
        <v>0.15</v>
      </c>
      <c r="I56" s="95">
        <v>0.15</v>
      </c>
      <c r="J56" s="95">
        <f t="shared" si="5"/>
        <v>2.7</v>
      </c>
      <c r="K56" s="95">
        <f t="shared" si="0"/>
        <v>5.4</v>
      </c>
      <c r="L56" s="95">
        <f t="shared" si="1"/>
        <v>3</v>
      </c>
      <c r="M56" s="24" t="str">
        <f t="shared" si="2"/>
        <v>NO</v>
      </c>
      <c r="N56" s="24">
        <f t="shared" si="6"/>
        <v>2.7</v>
      </c>
      <c r="O56" s="24">
        <f t="shared" si="3"/>
        <v>1</v>
      </c>
      <c r="P56" s="24">
        <f t="shared" si="4"/>
        <v>3</v>
      </c>
    </row>
    <row r="57" spans="1:16" ht="15.75" thickBot="1" x14ac:dyDescent="0.3">
      <c r="A57" s="96" t="s">
        <v>113</v>
      </c>
      <c r="B57" s="97">
        <v>2</v>
      </c>
      <c r="C57" s="97">
        <v>3</v>
      </c>
      <c r="D57" s="97">
        <v>3</v>
      </c>
      <c r="E57" s="97">
        <v>3</v>
      </c>
      <c r="F57" s="95">
        <v>0.3</v>
      </c>
      <c r="G57" s="95">
        <v>0.4</v>
      </c>
      <c r="H57" s="95">
        <v>0.15</v>
      </c>
      <c r="I57" s="95">
        <v>0.15</v>
      </c>
      <c r="J57" s="97">
        <f t="shared" si="5"/>
        <v>2.7</v>
      </c>
      <c r="K57" s="97">
        <f t="shared" si="0"/>
        <v>5.4</v>
      </c>
      <c r="L57" s="97">
        <f t="shared" si="1"/>
        <v>3</v>
      </c>
      <c r="M57" s="96" t="str">
        <f t="shared" si="2"/>
        <v>NO</v>
      </c>
      <c r="N57" s="24">
        <f t="shared" si="6"/>
        <v>2.7</v>
      </c>
      <c r="O57" s="96">
        <f t="shared" si="3"/>
        <v>1</v>
      </c>
      <c r="P57" s="96">
        <f t="shared" si="4"/>
        <v>3</v>
      </c>
    </row>
    <row r="58" spans="1:16" ht="16.5" thickTop="1" thickBot="1" x14ac:dyDescent="0.3">
      <c r="A58" s="98" t="s">
        <v>492</v>
      </c>
      <c r="B58" s="99"/>
      <c r="C58" s="99"/>
      <c r="D58" s="99"/>
      <c r="E58" s="99"/>
      <c r="F58" s="99"/>
      <c r="G58" s="99"/>
      <c r="H58" s="99"/>
      <c r="I58" s="99"/>
      <c r="J58" s="99"/>
      <c r="K58" s="99"/>
      <c r="L58" s="99"/>
      <c r="M58" s="98"/>
      <c r="N58" s="98"/>
      <c r="O58" s="98"/>
      <c r="P58" s="99">
        <f>SUM(P2:P57)</f>
        <v>157</v>
      </c>
    </row>
    <row r="59" spans="1:16" ht="15.75" thickTop="1" x14ac:dyDescent="0.25"/>
  </sheetData>
  <autoFilter ref="A1:P58" xr:uid="{70320C1F-0DE7-4A53-A7B9-273A92749677}"/>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90BE8-7D2D-4A3C-9A1C-774F7D05F6AE}">
  <sheetPr>
    <tabColor theme="5" tint="0.39997558519241921"/>
  </sheetPr>
  <dimension ref="A1:O76"/>
  <sheetViews>
    <sheetView topLeftCell="J1" workbookViewId="0">
      <selection activeCell="S26" sqref="S26"/>
    </sheetView>
  </sheetViews>
  <sheetFormatPr defaultRowHeight="15" x14ac:dyDescent="0.25"/>
  <cols>
    <col min="1" max="1" width="16.7109375" bestFit="1" customWidth="1"/>
    <col min="2" max="2" width="30.140625" bestFit="1" customWidth="1"/>
    <col min="3" max="3" width="4.140625" bestFit="1" customWidth="1"/>
    <col min="7" max="7" width="18.5703125" bestFit="1" customWidth="1"/>
    <col min="8" max="8" width="32.7109375" bestFit="1" customWidth="1"/>
    <col min="9" max="9" width="5" bestFit="1" customWidth="1"/>
    <col min="10" max="10" width="4" style="23" bestFit="1" customWidth="1"/>
    <col min="12" max="12" width="16.7109375" style="57" bestFit="1" customWidth="1"/>
    <col min="13" max="13" width="56" style="54" bestFit="1" customWidth="1"/>
    <col min="14" max="14" width="28.5703125" style="55" bestFit="1" customWidth="1"/>
    <col min="15" max="15" width="4" style="23" bestFit="1" customWidth="1"/>
  </cols>
  <sheetData>
    <row r="1" spans="1:15" ht="15.75" thickBot="1" x14ac:dyDescent="0.3">
      <c r="A1" t="s">
        <v>258</v>
      </c>
      <c r="G1" t="s">
        <v>259</v>
      </c>
    </row>
    <row r="2" spans="1:15" ht="15.75" thickBot="1" x14ac:dyDescent="0.3">
      <c r="A2" s="63" t="s">
        <v>242</v>
      </c>
      <c r="B2" s="63"/>
      <c r="C2" s="63"/>
      <c r="G2" s="64" t="s">
        <v>242</v>
      </c>
      <c r="H2" s="65"/>
      <c r="I2" s="66"/>
      <c r="L2" s="67" t="s">
        <v>321</v>
      </c>
      <c r="M2" s="67"/>
      <c r="N2" s="67"/>
    </row>
    <row r="3" spans="1:15" ht="15.75" thickBot="1" x14ac:dyDescent="0.3">
      <c r="A3" s="10" t="s">
        <v>239</v>
      </c>
      <c r="B3" s="10" t="s">
        <v>240</v>
      </c>
      <c r="C3" s="10" t="s">
        <v>213</v>
      </c>
      <c r="G3" s="40" t="s">
        <v>239</v>
      </c>
      <c r="H3" s="41" t="s">
        <v>240</v>
      </c>
      <c r="I3" s="41" t="s">
        <v>213</v>
      </c>
      <c r="L3" s="58" t="s">
        <v>239</v>
      </c>
      <c r="M3" s="60" t="s">
        <v>240</v>
      </c>
      <c r="N3" s="59" t="s">
        <v>313</v>
      </c>
    </row>
    <row r="4" spans="1:15" ht="15.75" thickBot="1" x14ac:dyDescent="0.3">
      <c r="A4" s="13" t="s">
        <v>200</v>
      </c>
      <c r="B4" s="13" t="s">
        <v>119</v>
      </c>
      <c r="C4" s="13">
        <v>3</v>
      </c>
      <c r="G4" s="42" t="s">
        <v>200</v>
      </c>
      <c r="H4" s="43" t="s">
        <v>119</v>
      </c>
      <c r="I4" s="44">
        <v>3</v>
      </c>
      <c r="L4" s="51" t="s">
        <v>200</v>
      </c>
      <c r="M4" s="54" t="s">
        <v>260</v>
      </c>
      <c r="N4" s="55">
        <v>3</v>
      </c>
    </row>
    <row r="5" spans="1:15" ht="15.75" thickBot="1" x14ac:dyDescent="0.3">
      <c r="A5" s="13" t="s">
        <v>200</v>
      </c>
      <c r="B5" s="13" t="s">
        <v>120</v>
      </c>
      <c r="C5" s="13">
        <v>3</v>
      </c>
      <c r="G5" s="42" t="s">
        <v>200</v>
      </c>
      <c r="H5" s="43" t="s">
        <v>120</v>
      </c>
      <c r="I5" s="44">
        <v>3</v>
      </c>
      <c r="L5" s="51" t="s">
        <v>200</v>
      </c>
      <c r="M5" s="54" t="s">
        <v>261</v>
      </c>
      <c r="N5" s="55">
        <v>3</v>
      </c>
    </row>
    <row r="6" spans="1:15" ht="15.75" thickBot="1" x14ac:dyDescent="0.3">
      <c r="A6" s="13" t="s">
        <v>200</v>
      </c>
      <c r="B6" s="13" t="s">
        <v>154</v>
      </c>
      <c r="C6" s="13">
        <v>2</v>
      </c>
      <c r="G6" s="42" t="s">
        <v>200</v>
      </c>
      <c r="H6" s="43" t="s">
        <v>154</v>
      </c>
      <c r="I6" s="44">
        <v>2</v>
      </c>
      <c r="L6" s="51" t="s">
        <v>200</v>
      </c>
      <c r="M6" s="54" t="s">
        <v>262</v>
      </c>
      <c r="N6" s="55">
        <v>2</v>
      </c>
    </row>
    <row r="7" spans="1:15" ht="15.75" thickBot="1" x14ac:dyDescent="0.3">
      <c r="A7" s="13" t="s">
        <v>200</v>
      </c>
      <c r="B7" s="13" t="s">
        <v>78</v>
      </c>
      <c r="C7" s="13">
        <v>3</v>
      </c>
      <c r="G7" s="42" t="s">
        <v>200</v>
      </c>
      <c r="H7" s="43" t="s">
        <v>78</v>
      </c>
      <c r="I7" s="44">
        <v>3</v>
      </c>
      <c r="L7" s="51" t="s">
        <v>200</v>
      </c>
      <c r="M7" s="54" t="s">
        <v>263</v>
      </c>
      <c r="N7" s="55">
        <v>3</v>
      </c>
    </row>
    <row r="8" spans="1:15" ht="15.75" thickBot="1" x14ac:dyDescent="0.3">
      <c r="A8" s="13" t="s">
        <v>200</v>
      </c>
      <c r="B8" s="13" t="s">
        <v>111</v>
      </c>
      <c r="C8" s="13">
        <v>2</v>
      </c>
      <c r="G8" s="42" t="s">
        <v>200</v>
      </c>
      <c r="H8" s="43" t="s">
        <v>111</v>
      </c>
      <c r="I8" s="44">
        <v>2</v>
      </c>
      <c r="L8" s="51" t="s">
        <v>200</v>
      </c>
      <c r="M8" s="54" t="s">
        <v>264</v>
      </c>
      <c r="N8" s="55">
        <v>2</v>
      </c>
    </row>
    <row r="9" spans="1:15" ht="15.75" thickBot="1" x14ac:dyDescent="0.3">
      <c r="A9" s="13" t="s">
        <v>200</v>
      </c>
      <c r="B9" s="13" t="s">
        <v>160</v>
      </c>
      <c r="C9" s="13">
        <v>2</v>
      </c>
      <c r="G9" s="42" t="s">
        <v>200</v>
      </c>
      <c r="H9" s="43" t="s">
        <v>250</v>
      </c>
      <c r="I9" s="44">
        <v>2</v>
      </c>
      <c r="L9" s="51" t="s">
        <v>200</v>
      </c>
      <c r="M9" s="54" t="s">
        <v>265</v>
      </c>
      <c r="N9" s="55">
        <v>2</v>
      </c>
    </row>
    <row r="10" spans="1:15" ht="15.75" thickBot="1" x14ac:dyDescent="0.3">
      <c r="A10" s="13" t="s">
        <v>200</v>
      </c>
      <c r="B10" s="13" t="s">
        <v>162</v>
      </c>
      <c r="C10" s="13">
        <v>2</v>
      </c>
      <c r="G10" s="42" t="s">
        <v>200</v>
      </c>
      <c r="H10" s="43" t="s">
        <v>251</v>
      </c>
      <c r="I10" s="44">
        <v>1</v>
      </c>
      <c r="L10" s="51" t="s">
        <v>200</v>
      </c>
      <c r="M10" s="54" t="s">
        <v>266</v>
      </c>
      <c r="N10" s="55">
        <v>2</v>
      </c>
    </row>
    <row r="11" spans="1:15" ht="15.75" thickBot="1" x14ac:dyDescent="0.3">
      <c r="A11" s="13" t="s">
        <v>200</v>
      </c>
      <c r="B11" s="13" t="s">
        <v>150</v>
      </c>
      <c r="C11" s="13">
        <v>1</v>
      </c>
      <c r="G11" s="42" t="s">
        <v>200</v>
      </c>
      <c r="H11" s="43" t="s">
        <v>150</v>
      </c>
      <c r="I11" s="44">
        <v>1</v>
      </c>
      <c r="J11" s="23">
        <f>SUM(I4:I11)</f>
        <v>17</v>
      </c>
      <c r="L11" s="51" t="s">
        <v>200</v>
      </c>
      <c r="M11" s="54" t="s">
        <v>267</v>
      </c>
      <c r="N11" s="55">
        <v>2</v>
      </c>
      <c r="O11" s="23">
        <f>SUM(N4:N11)</f>
        <v>19</v>
      </c>
    </row>
    <row r="12" spans="1:15" ht="15.75" thickBot="1" x14ac:dyDescent="0.3">
      <c r="A12" s="63" t="s">
        <v>243</v>
      </c>
      <c r="B12" s="63"/>
      <c r="C12" s="63"/>
      <c r="G12" s="64" t="s">
        <v>243</v>
      </c>
      <c r="H12" s="65"/>
      <c r="I12" s="66"/>
      <c r="L12" s="67" t="s">
        <v>320</v>
      </c>
      <c r="M12" s="67"/>
      <c r="N12" s="67"/>
    </row>
    <row r="13" spans="1:15" ht="15.75" thickBot="1" x14ac:dyDescent="0.3">
      <c r="A13" s="10" t="s">
        <v>239</v>
      </c>
      <c r="B13" s="10" t="s">
        <v>240</v>
      </c>
      <c r="C13" s="10" t="s">
        <v>213</v>
      </c>
      <c r="G13" s="40" t="s">
        <v>239</v>
      </c>
      <c r="H13" s="41" t="s">
        <v>240</v>
      </c>
      <c r="I13" s="41" t="s">
        <v>213</v>
      </c>
      <c r="L13" s="58" t="s">
        <v>239</v>
      </c>
      <c r="M13" s="60" t="s">
        <v>240</v>
      </c>
      <c r="N13" s="59" t="s">
        <v>313</v>
      </c>
    </row>
    <row r="14" spans="1:15" ht="15.75" thickBot="1" x14ac:dyDescent="0.3">
      <c r="A14" s="13" t="s">
        <v>200</v>
      </c>
      <c r="B14" s="13" t="s">
        <v>161</v>
      </c>
      <c r="C14" s="13">
        <v>1</v>
      </c>
      <c r="G14" s="42" t="s">
        <v>200</v>
      </c>
      <c r="H14" s="43" t="s">
        <v>252</v>
      </c>
      <c r="I14" s="44">
        <v>1</v>
      </c>
      <c r="L14" s="52" t="s">
        <v>200</v>
      </c>
      <c r="M14" s="53" t="s">
        <v>268</v>
      </c>
      <c r="N14" s="56">
        <v>1</v>
      </c>
    </row>
    <row r="15" spans="1:15" ht="15.75" thickBot="1" x14ac:dyDescent="0.3">
      <c r="A15" s="13" t="s">
        <v>200</v>
      </c>
      <c r="B15" s="13" t="s">
        <v>79</v>
      </c>
      <c r="C15" s="13">
        <v>3</v>
      </c>
      <c r="G15" s="42" t="s">
        <v>200</v>
      </c>
      <c r="H15" s="43" t="s">
        <v>79</v>
      </c>
      <c r="I15" s="44">
        <v>3</v>
      </c>
      <c r="L15" s="52" t="s">
        <v>200</v>
      </c>
      <c r="M15" s="53" t="s">
        <v>269</v>
      </c>
      <c r="N15" s="56">
        <v>3</v>
      </c>
    </row>
    <row r="16" spans="1:15" ht="15.75" thickBot="1" x14ac:dyDescent="0.3">
      <c r="A16" s="13" t="s">
        <v>200</v>
      </c>
      <c r="B16" s="13" t="s">
        <v>152</v>
      </c>
      <c r="C16" s="13">
        <v>2</v>
      </c>
      <c r="G16" s="42" t="s">
        <v>200</v>
      </c>
      <c r="H16" s="43" t="s">
        <v>152</v>
      </c>
      <c r="I16" s="44">
        <v>2</v>
      </c>
      <c r="L16" s="52" t="s">
        <v>200</v>
      </c>
      <c r="M16" s="53" t="s">
        <v>270</v>
      </c>
      <c r="N16" s="56">
        <v>2</v>
      </c>
    </row>
    <row r="17" spans="1:15" ht="15.75" thickBot="1" x14ac:dyDescent="0.3">
      <c r="A17" s="13" t="s">
        <v>200</v>
      </c>
      <c r="B17" s="13" t="s">
        <v>157</v>
      </c>
      <c r="C17" s="13">
        <v>2</v>
      </c>
      <c r="G17" s="42" t="s">
        <v>200</v>
      </c>
      <c r="H17" s="43" t="s">
        <v>157</v>
      </c>
      <c r="I17" s="44">
        <v>2</v>
      </c>
      <c r="L17" s="52" t="s">
        <v>200</v>
      </c>
      <c r="M17" s="53" t="s">
        <v>323</v>
      </c>
      <c r="N17" s="56">
        <v>2</v>
      </c>
    </row>
    <row r="18" spans="1:15" ht="30.75" thickBot="1" x14ac:dyDescent="0.3">
      <c r="A18" s="13" t="s">
        <v>200</v>
      </c>
      <c r="B18" s="13" t="s">
        <v>90</v>
      </c>
      <c r="C18" s="13">
        <v>2</v>
      </c>
      <c r="G18" s="42" t="s">
        <v>200</v>
      </c>
      <c r="H18" s="43" t="s">
        <v>126</v>
      </c>
      <c r="I18" s="44">
        <v>3</v>
      </c>
      <c r="L18" s="52" t="s">
        <v>200</v>
      </c>
      <c r="M18" s="53" t="s">
        <v>271</v>
      </c>
      <c r="N18" s="56">
        <v>3</v>
      </c>
    </row>
    <row r="19" spans="1:15" ht="15.75" thickBot="1" x14ac:dyDescent="0.3">
      <c r="A19" s="13" t="s">
        <v>200</v>
      </c>
      <c r="B19" s="13" t="s">
        <v>163</v>
      </c>
      <c r="C19" s="13">
        <v>2</v>
      </c>
      <c r="G19" s="42" t="s">
        <v>200</v>
      </c>
      <c r="H19" s="43" t="s">
        <v>158</v>
      </c>
      <c r="I19" s="44">
        <v>1</v>
      </c>
      <c r="L19" s="52"/>
      <c r="M19" s="53"/>
      <c r="N19" s="56"/>
    </row>
    <row r="20" spans="1:15" ht="15.75" thickBot="1" x14ac:dyDescent="0.3">
      <c r="A20" s="13" t="s">
        <v>200</v>
      </c>
      <c r="B20" s="13" t="s">
        <v>158</v>
      </c>
      <c r="C20" s="13">
        <v>1</v>
      </c>
      <c r="G20" s="42" t="s">
        <v>200</v>
      </c>
      <c r="H20" s="43"/>
      <c r="I20" s="44"/>
    </row>
    <row r="21" spans="1:15" ht="15.75" thickBot="1" x14ac:dyDescent="0.3">
      <c r="A21" s="13" t="s">
        <v>200</v>
      </c>
      <c r="B21" s="13" t="s">
        <v>115</v>
      </c>
      <c r="C21" s="13">
        <v>2</v>
      </c>
      <c r="G21" s="42" t="s">
        <v>200</v>
      </c>
      <c r="H21" s="45"/>
      <c r="I21" s="44"/>
      <c r="J21" s="23">
        <f>SUM(I14:I21)</f>
        <v>12</v>
      </c>
      <c r="O21" s="23">
        <f>SUM(N14:N19)</f>
        <v>11</v>
      </c>
    </row>
    <row r="22" spans="1:15" ht="15.75" thickBot="1" x14ac:dyDescent="0.3">
      <c r="A22" s="63" t="s">
        <v>244</v>
      </c>
      <c r="B22" s="63"/>
      <c r="C22" s="63"/>
      <c r="G22" s="64" t="s">
        <v>244</v>
      </c>
      <c r="H22" s="65"/>
      <c r="I22" s="66"/>
      <c r="L22" s="67" t="s">
        <v>319</v>
      </c>
      <c r="M22" s="67"/>
      <c r="N22" s="67"/>
    </row>
    <row r="23" spans="1:15" ht="15.75" thickBot="1" x14ac:dyDescent="0.3">
      <c r="A23" s="38" t="s">
        <v>239</v>
      </c>
      <c r="B23" s="38" t="s">
        <v>240</v>
      </c>
      <c r="C23" s="38" t="s">
        <v>213</v>
      </c>
      <c r="G23" s="46" t="s">
        <v>239</v>
      </c>
      <c r="H23" s="47" t="s">
        <v>240</v>
      </c>
      <c r="I23" s="47" t="s">
        <v>213</v>
      </c>
      <c r="L23" s="58" t="s">
        <v>239</v>
      </c>
      <c r="M23" s="60" t="s">
        <v>240</v>
      </c>
      <c r="N23" s="59" t="s">
        <v>313</v>
      </c>
    </row>
    <row r="24" spans="1:15" ht="30.75" thickBot="1" x14ac:dyDescent="0.3">
      <c r="A24" s="39" t="s">
        <v>200</v>
      </c>
      <c r="B24" s="39" t="s">
        <v>121</v>
      </c>
      <c r="C24" s="39">
        <v>3</v>
      </c>
      <c r="G24" s="48" t="s">
        <v>200</v>
      </c>
      <c r="H24" s="49" t="s">
        <v>253</v>
      </c>
      <c r="I24" s="50">
        <v>2</v>
      </c>
      <c r="L24" s="52" t="s">
        <v>200</v>
      </c>
      <c r="M24" s="53" t="s">
        <v>272</v>
      </c>
      <c r="N24" s="56">
        <v>2</v>
      </c>
    </row>
    <row r="25" spans="1:15" ht="15.75" thickBot="1" x14ac:dyDescent="0.3">
      <c r="A25" s="39" t="s">
        <v>200</v>
      </c>
      <c r="B25" s="39" t="s">
        <v>122</v>
      </c>
      <c r="C25" s="39">
        <v>3</v>
      </c>
      <c r="G25" s="48" t="s">
        <v>200</v>
      </c>
      <c r="H25" s="49" t="s">
        <v>121</v>
      </c>
      <c r="I25" s="50">
        <v>3</v>
      </c>
      <c r="L25" s="52" t="s">
        <v>200</v>
      </c>
      <c r="M25" s="53" t="s">
        <v>273</v>
      </c>
      <c r="N25" s="56">
        <v>3</v>
      </c>
    </row>
    <row r="26" spans="1:15" ht="15.75" thickBot="1" x14ac:dyDescent="0.3">
      <c r="A26" s="39" t="s">
        <v>200</v>
      </c>
      <c r="B26" s="39" t="s">
        <v>126</v>
      </c>
      <c r="C26" s="39">
        <v>3</v>
      </c>
      <c r="G26" s="48" t="s">
        <v>200</v>
      </c>
      <c r="H26" s="49" t="s">
        <v>122</v>
      </c>
      <c r="I26" s="50">
        <v>3</v>
      </c>
      <c r="L26" s="52" t="s">
        <v>200</v>
      </c>
      <c r="M26" s="53" t="s">
        <v>274</v>
      </c>
      <c r="N26" s="56">
        <v>3</v>
      </c>
    </row>
    <row r="27" spans="1:15" ht="15.75" thickBot="1" x14ac:dyDescent="0.3">
      <c r="A27" s="39" t="s">
        <v>200</v>
      </c>
      <c r="B27" s="39" t="s">
        <v>93</v>
      </c>
      <c r="C27" s="39">
        <v>2</v>
      </c>
      <c r="G27" s="48" t="s">
        <v>200</v>
      </c>
      <c r="H27" s="49" t="s">
        <v>93</v>
      </c>
      <c r="I27" s="50">
        <v>2</v>
      </c>
      <c r="L27" s="52" t="s">
        <v>200</v>
      </c>
      <c r="M27" s="53" t="s">
        <v>275</v>
      </c>
      <c r="N27" s="56">
        <v>2</v>
      </c>
    </row>
    <row r="28" spans="1:15" ht="30.75" thickBot="1" x14ac:dyDescent="0.3">
      <c r="A28" s="39" t="s">
        <v>200</v>
      </c>
      <c r="B28" s="39" t="s">
        <v>233</v>
      </c>
      <c r="C28" s="39">
        <v>3</v>
      </c>
      <c r="G28" s="48" t="s">
        <v>200</v>
      </c>
      <c r="H28" s="49" t="s">
        <v>233</v>
      </c>
      <c r="I28" s="50">
        <v>3</v>
      </c>
      <c r="L28" s="52" t="s">
        <v>200</v>
      </c>
      <c r="M28" s="53" t="s">
        <v>276</v>
      </c>
      <c r="N28" s="56">
        <v>3</v>
      </c>
    </row>
    <row r="29" spans="1:15" ht="15.75" thickBot="1" x14ac:dyDescent="0.3">
      <c r="A29" s="39" t="s">
        <v>200</v>
      </c>
      <c r="B29" s="39" t="s">
        <v>235</v>
      </c>
      <c r="C29" s="39">
        <v>3</v>
      </c>
      <c r="G29" s="48" t="s">
        <v>200</v>
      </c>
      <c r="H29" s="49" t="s">
        <v>235</v>
      </c>
      <c r="I29" s="50">
        <v>3</v>
      </c>
      <c r="L29" s="52" t="s">
        <v>200</v>
      </c>
      <c r="M29" s="53" t="s">
        <v>277</v>
      </c>
      <c r="N29" s="56">
        <v>3</v>
      </c>
    </row>
    <row r="30" spans="1:15" ht="15.75" thickBot="1" x14ac:dyDescent="0.3">
      <c r="A30" s="39" t="s">
        <v>200</v>
      </c>
      <c r="B30" s="39" t="s">
        <v>164</v>
      </c>
      <c r="C30" s="39">
        <v>2</v>
      </c>
      <c r="G30" s="48" t="s">
        <v>200</v>
      </c>
      <c r="H30" s="49" t="s">
        <v>92</v>
      </c>
      <c r="I30" s="50">
        <v>2</v>
      </c>
      <c r="J30" s="23">
        <f>SUM(I24:I30)</f>
        <v>18</v>
      </c>
      <c r="L30" s="52" t="s">
        <v>200</v>
      </c>
      <c r="M30" s="53" t="s">
        <v>278</v>
      </c>
      <c r="N30" s="56">
        <v>2</v>
      </c>
      <c r="O30" s="23">
        <f>SUM(N24:N30)</f>
        <v>18</v>
      </c>
    </row>
    <row r="31" spans="1:15" ht="15.75" thickBot="1" x14ac:dyDescent="0.3">
      <c r="A31" s="63" t="s">
        <v>245</v>
      </c>
      <c r="B31" s="63"/>
      <c r="C31" s="63"/>
      <c r="G31" s="64" t="s">
        <v>245</v>
      </c>
      <c r="H31" s="65"/>
      <c r="I31" s="66"/>
      <c r="L31" s="67" t="s">
        <v>317</v>
      </c>
      <c r="M31" s="67"/>
      <c r="N31" s="67"/>
    </row>
    <row r="32" spans="1:15" ht="15.75" thickBot="1" x14ac:dyDescent="0.3">
      <c r="A32" s="38" t="s">
        <v>239</v>
      </c>
      <c r="B32" s="38" t="s">
        <v>240</v>
      </c>
      <c r="C32" s="38" t="s">
        <v>213</v>
      </c>
      <c r="G32" s="46" t="s">
        <v>239</v>
      </c>
      <c r="H32" s="47" t="s">
        <v>240</v>
      </c>
      <c r="I32" s="47" t="s">
        <v>213</v>
      </c>
      <c r="L32" s="58" t="s">
        <v>239</v>
      </c>
      <c r="M32" s="60" t="s">
        <v>240</v>
      </c>
      <c r="N32" s="59" t="s">
        <v>313</v>
      </c>
    </row>
    <row r="33" spans="1:15" ht="15.75" thickBot="1" x14ac:dyDescent="0.3">
      <c r="A33" s="39" t="s">
        <v>200</v>
      </c>
      <c r="B33" s="39" t="s">
        <v>123</v>
      </c>
      <c r="C33" s="39">
        <v>3</v>
      </c>
      <c r="G33" s="48" t="s">
        <v>200</v>
      </c>
      <c r="H33" s="49" t="s">
        <v>254</v>
      </c>
      <c r="I33" s="50">
        <v>2</v>
      </c>
      <c r="L33" s="52" t="s">
        <v>200</v>
      </c>
      <c r="M33" s="53" t="s">
        <v>279</v>
      </c>
      <c r="N33" s="56">
        <v>2</v>
      </c>
    </row>
    <row r="34" spans="1:15" ht="15.75" thickBot="1" x14ac:dyDescent="0.3">
      <c r="A34" s="39" t="s">
        <v>200</v>
      </c>
      <c r="B34" s="39" t="s">
        <v>124</v>
      </c>
      <c r="C34" s="39">
        <v>3</v>
      </c>
      <c r="G34" s="48" t="s">
        <v>200</v>
      </c>
      <c r="H34" s="49" t="s">
        <v>123</v>
      </c>
      <c r="I34" s="50">
        <v>3</v>
      </c>
      <c r="L34" s="52" t="s">
        <v>200</v>
      </c>
      <c r="M34" s="53" t="s">
        <v>280</v>
      </c>
      <c r="N34" s="56">
        <v>3</v>
      </c>
    </row>
    <row r="35" spans="1:15" ht="15.75" thickBot="1" x14ac:dyDescent="0.3">
      <c r="A35" s="39" t="s">
        <v>200</v>
      </c>
      <c r="B35" s="39" t="s">
        <v>128</v>
      </c>
      <c r="C35" s="39">
        <v>3</v>
      </c>
      <c r="G35" s="48" t="s">
        <v>200</v>
      </c>
      <c r="H35" s="49" t="s">
        <v>124</v>
      </c>
      <c r="I35" s="50">
        <v>3</v>
      </c>
      <c r="L35" s="52" t="s">
        <v>200</v>
      </c>
      <c r="M35" s="53" t="s">
        <v>281</v>
      </c>
      <c r="N35" s="56">
        <v>3</v>
      </c>
    </row>
    <row r="36" spans="1:15" ht="15.75" thickBot="1" x14ac:dyDescent="0.3">
      <c r="A36" s="39" t="s">
        <v>200</v>
      </c>
      <c r="B36" s="39" t="s">
        <v>86</v>
      </c>
      <c r="C36" s="39">
        <v>3</v>
      </c>
      <c r="G36" s="48" t="s">
        <v>200</v>
      </c>
      <c r="H36" s="49" t="s">
        <v>128</v>
      </c>
      <c r="I36" s="50">
        <v>3</v>
      </c>
      <c r="L36" s="52" t="s">
        <v>200</v>
      </c>
      <c r="M36" s="53" t="s">
        <v>282</v>
      </c>
      <c r="N36" s="56">
        <v>3</v>
      </c>
    </row>
    <row r="37" spans="1:15" ht="15.75" thickBot="1" x14ac:dyDescent="0.3">
      <c r="A37" s="39" t="s">
        <v>200</v>
      </c>
      <c r="B37" s="39" t="s">
        <v>232</v>
      </c>
      <c r="C37" s="39">
        <v>3</v>
      </c>
      <c r="G37" s="48" t="s">
        <v>200</v>
      </c>
      <c r="H37" s="49" t="s">
        <v>86</v>
      </c>
      <c r="I37" s="50">
        <v>3</v>
      </c>
      <c r="L37" s="52" t="s">
        <v>200</v>
      </c>
      <c r="M37" s="53" t="s">
        <v>283</v>
      </c>
      <c r="N37" s="56">
        <v>3</v>
      </c>
    </row>
    <row r="38" spans="1:15" ht="30.75" thickBot="1" x14ac:dyDescent="0.3">
      <c r="A38" s="39" t="s">
        <v>200</v>
      </c>
      <c r="B38" s="39" t="s">
        <v>211</v>
      </c>
      <c r="C38" s="39">
        <v>1</v>
      </c>
      <c r="G38" s="48" t="s">
        <v>200</v>
      </c>
      <c r="H38" s="49" t="s">
        <v>232</v>
      </c>
      <c r="I38" s="50">
        <v>3</v>
      </c>
      <c r="L38" s="52" t="s">
        <v>200</v>
      </c>
      <c r="M38" s="53" t="s">
        <v>284</v>
      </c>
      <c r="N38" s="56">
        <v>3</v>
      </c>
    </row>
    <row r="39" spans="1:15" ht="30.75" thickBot="1" x14ac:dyDescent="0.3">
      <c r="A39" s="39" t="s">
        <v>200</v>
      </c>
      <c r="B39" s="39" t="s">
        <v>82</v>
      </c>
      <c r="C39" s="39">
        <v>3</v>
      </c>
      <c r="G39" s="48" t="s">
        <v>200</v>
      </c>
      <c r="H39" s="49" t="s">
        <v>82</v>
      </c>
      <c r="I39" s="50">
        <v>3</v>
      </c>
      <c r="J39" s="23">
        <f>SUM(I33:I39)</f>
        <v>20</v>
      </c>
      <c r="L39" s="52" t="s">
        <v>200</v>
      </c>
      <c r="M39" s="53" t="s">
        <v>285</v>
      </c>
      <c r="N39" s="56">
        <v>3</v>
      </c>
      <c r="O39" s="23">
        <f>SUM(N33:N39)</f>
        <v>20</v>
      </c>
    </row>
    <row r="40" spans="1:15" ht="15.75" thickBot="1" x14ac:dyDescent="0.3">
      <c r="A40" s="63" t="s">
        <v>246</v>
      </c>
      <c r="B40" s="63"/>
      <c r="C40" s="63"/>
      <c r="G40" s="64" t="s">
        <v>246</v>
      </c>
      <c r="H40" s="65"/>
      <c r="I40" s="66"/>
      <c r="L40" s="67" t="s">
        <v>318</v>
      </c>
      <c r="M40" s="67"/>
      <c r="N40" s="67"/>
    </row>
    <row r="41" spans="1:15" ht="15.75" thickBot="1" x14ac:dyDescent="0.3">
      <c r="A41" s="38" t="s">
        <v>239</v>
      </c>
      <c r="B41" s="38" t="s">
        <v>240</v>
      </c>
      <c r="C41" s="38" t="s">
        <v>213</v>
      </c>
      <c r="G41" s="46" t="s">
        <v>239</v>
      </c>
      <c r="H41" s="47" t="s">
        <v>240</v>
      </c>
      <c r="I41" s="47" t="s">
        <v>213</v>
      </c>
      <c r="L41" s="58" t="s">
        <v>239</v>
      </c>
      <c r="M41" s="60" t="s">
        <v>240</v>
      </c>
      <c r="N41" s="59" t="s">
        <v>313</v>
      </c>
    </row>
    <row r="42" spans="1:15" ht="30.75" thickBot="1" x14ac:dyDescent="0.3">
      <c r="A42" s="39" t="s">
        <v>200</v>
      </c>
      <c r="B42" s="39" t="s">
        <v>129</v>
      </c>
      <c r="C42" s="39">
        <v>3</v>
      </c>
      <c r="G42" s="48" t="s">
        <v>200</v>
      </c>
      <c r="H42" s="49" t="s">
        <v>255</v>
      </c>
      <c r="I42" s="50">
        <v>2</v>
      </c>
      <c r="L42" s="52" t="s">
        <v>200</v>
      </c>
      <c r="M42" s="53" t="s">
        <v>286</v>
      </c>
      <c r="N42" s="56">
        <v>2</v>
      </c>
    </row>
    <row r="43" spans="1:15" ht="15.75" thickBot="1" x14ac:dyDescent="0.3">
      <c r="A43" s="39" t="s">
        <v>200</v>
      </c>
      <c r="B43" s="39" t="s">
        <v>80</v>
      </c>
      <c r="C43" s="39">
        <v>3</v>
      </c>
      <c r="G43" s="48" t="s">
        <v>200</v>
      </c>
      <c r="H43" s="49" t="s">
        <v>129</v>
      </c>
      <c r="I43" s="50">
        <v>3</v>
      </c>
      <c r="L43" s="52" t="s">
        <v>200</v>
      </c>
      <c r="M43" s="53" t="s">
        <v>287</v>
      </c>
      <c r="N43" s="56">
        <v>3</v>
      </c>
    </row>
    <row r="44" spans="1:15" ht="15.75" thickBot="1" x14ac:dyDescent="0.3">
      <c r="A44" s="39" t="s">
        <v>200</v>
      </c>
      <c r="B44" s="39" t="s">
        <v>96</v>
      </c>
      <c r="C44" s="39">
        <v>3</v>
      </c>
      <c r="G44" s="48" t="s">
        <v>200</v>
      </c>
      <c r="H44" s="49" t="s">
        <v>80</v>
      </c>
      <c r="I44" s="50">
        <v>3</v>
      </c>
      <c r="L44" s="52" t="s">
        <v>200</v>
      </c>
      <c r="M44" s="53" t="s">
        <v>288</v>
      </c>
      <c r="N44" s="56">
        <v>3</v>
      </c>
    </row>
    <row r="45" spans="1:15" ht="15.75" thickBot="1" x14ac:dyDescent="0.3">
      <c r="A45" s="39" t="s">
        <v>200</v>
      </c>
      <c r="B45" s="39" t="s">
        <v>97</v>
      </c>
      <c r="C45" s="39">
        <v>3</v>
      </c>
      <c r="G45" s="48" t="s">
        <v>200</v>
      </c>
      <c r="H45" s="49" t="s">
        <v>96</v>
      </c>
      <c r="I45" s="50">
        <v>3</v>
      </c>
      <c r="L45" s="52" t="s">
        <v>200</v>
      </c>
      <c r="M45" s="53" t="s">
        <v>289</v>
      </c>
      <c r="N45" s="56">
        <v>3</v>
      </c>
    </row>
    <row r="46" spans="1:15" ht="15.75" thickBot="1" x14ac:dyDescent="0.3">
      <c r="A46" s="39" t="s">
        <v>200</v>
      </c>
      <c r="B46" s="39" t="s">
        <v>88</v>
      </c>
      <c r="C46" s="39">
        <v>3</v>
      </c>
      <c r="G46" s="48" t="s">
        <v>200</v>
      </c>
      <c r="H46" s="49" t="s">
        <v>97</v>
      </c>
      <c r="I46" s="50">
        <v>3</v>
      </c>
      <c r="L46" s="52" t="s">
        <v>200</v>
      </c>
      <c r="M46" s="53" t="s">
        <v>290</v>
      </c>
      <c r="N46" s="56">
        <v>3</v>
      </c>
    </row>
    <row r="47" spans="1:15" ht="30.75" thickBot="1" x14ac:dyDescent="0.3">
      <c r="A47" s="39" t="s">
        <v>200</v>
      </c>
      <c r="B47" s="39" t="s">
        <v>99</v>
      </c>
      <c r="C47" s="39">
        <v>3</v>
      </c>
      <c r="G47" s="48" t="s">
        <v>200</v>
      </c>
      <c r="H47" s="49" t="s">
        <v>88</v>
      </c>
      <c r="I47" s="50">
        <v>3</v>
      </c>
      <c r="L47" s="52" t="s">
        <v>200</v>
      </c>
      <c r="M47" s="53" t="s">
        <v>291</v>
      </c>
      <c r="N47" s="56">
        <v>3</v>
      </c>
    </row>
    <row r="48" spans="1:15" ht="30.75" thickBot="1" x14ac:dyDescent="0.3">
      <c r="A48" s="63" t="s">
        <v>247</v>
      </c>
      <c r="B48" s="63"/>
      <c r="C48" s="63"/>
      <c r="G48" s="48" t="s">
        <v>200</v>
      </c>
      <c r="H48" s="49" t="s">
        <v>99</v>
      </c>
      <c r="I48" s="50">
        <v>3</v>
      </c>
      <c r="L48" s="52" t="s">
        <v>200</v>
      </c>
      <c r="M48" s="53" t="s">
        <v>292</v>
      </c>
      <c r="N48" s="56">
        <v>3</v>
      </c>
    </row>
    <row r="49" spans="1:15" ht="30.75" thickBot="1" x14ac:dyDescent="0.3">
      <c r="A49" s="38" t="s">
        <v>239</v>
      </c>
      <c r="B49" s="38" t="s">
        <v>240</v>
      </c>
      <c r="C49" s="38" t="s">
        <v>213</v>
      </c>
      <c r="G49" s="48" t="s">
        <v>200</v>
      </c>
      <c r="H49" s="49" t="s">
        <v>234</v>
      </c>
      <c r="I49" s="50">
        <v>2</v>
      </c>
      <c r="J49" s="23">
        <f>SUM(I42:I49)</f>
        <v>22</v>
      </c>
      <c r="L49" s="52" t="s">
        <v>200</v>
      </c>
      <c r="M49" s="53" t="s">
        <v>293</v>
      </c>
      <c r="N49" s="56">
        <v>2</v>
      </c>
      <c r="O49" s="23">
        <f>SUM(N42:N49)</f>
        <v>22</v>
      </c>
    </row>
    <row r="50" spans="1:15" ht="15.75" thickBot="1" x14ac:dyDescent="0.3">
      <c r="A50" s="39" t="s">
        <v>200</v>
      </c>
      <c r="B50" s="39" t="s">
        <v>84</v>
      </c>
      <c r="C50" s="39">
        <v>3</v>
      </c>
      <c r="G50" s="64" t="s">
        <v>247</v>
      </c>
      <c r="H50" s="65"/>
      <c r="I50" s="66"/>
      <c r="L50" s="67" t="s">
        <v>316</v>
      </c>
      <c r="M50" s="67"/>
      <c r="N50" s="67"/>
    </row>
    <row r="51" spans="1:15" ht="15.75" thickBot="1" x14ac:dyDescent="0.3">
      <c r="A51" s="39" t="s">
        <v>200</v>
      </c>
      <c r="B51" s="39" t="s">
        <v>106</v>
      </c>
      <c r="C51" s="39">
        <v>3</v>
      </c>
      <c r="G51" s="46" t="s">
        <v>239</v>
      </c>
      <c r="H51" s="47" t="s">
        <v>240</v>
      </c>
      <c r="I51" s="47" t="s">
        <v>213</v>
      </c>
      <c r="L51" s="58" t="s">
        <v>239</v>
      </c>
      <c r="M51" s="60" t="s">
        <v>240</v>
      </c>
      <c r="N51" s="59" t="s">
        <v>313</v>
      </c>
    </row>
    <row r="52" spans="1:15" ht="15.75" thickBot="1" x14ac:dyDescent="0.3">
      <c r="A52" s="39" t="s">
        <v>200</v>
      </c>
      <c r="B52" s="39" t="s">
        <v>98</v>
      </c>
      <c r="C52" s="39">
        <v>3</v>
      </c>
      <c r="G52" s="48" t="s">
        <v>200</v>
      </c>
      <c r="H52" s="49" t="s">
        <v>256</v>
      </c>
      <c r="I52" s="50">
        <v>2</v>
      </c>
      <c r="L52" s="52" t="s">
        <v>200</v>
      </c>
      <c r="M52" s="53" t="s">
        <v>294</v>
      </c>
      <c r="N52" s="56">
        <v>2</v>
      </c>
    </row>
    <row r="53" spans="1:15" ht="15.75" thickBot="1" x14ac:dyDescent="0.3">
      <c r="A53" s="39" t="s">
        <v>200</v>
      </c>
      <c r="B53" s="39" t="s">
        <v>89</v>
      </c>
      <c r="C53" s="39">
        <v>3</v>
      </c>
      <c r="G53" s="48" t="s">
        <v>200</v>
      </c>
      <c r="H53" s="49" t="s">
        <v>84</v>
      </c>
      <c r="I53" s="50">
        <v>3</v>
      </c>
      <c r="L53" s="52" t="s">
        <v>200</v>
      </c>
      <c r="M53" s="53" t="s">
        <v>295</v>
      </c>
      <c r="N53" s="56">
        <v>3</v>
      </c>
    </row>
    <row r="54" spans="1:15" ht="30.75" thickBot="1" x14ac:dyDescent="0.3">
      <c r="A54" s="39" t="s">
        <v>200</v>
      </c>
      <c r="B54" s="39" t="s">
        <v>92</v>
      </c>
      <c r="C54" s="39">
        <v>2</v>
      </c>
      <c r="G54" s="48" t="s">
        <v>200</v>
      </c>
      <c r="H54" s="49" t="s">
        <v>106</v>
      </c>
      <c r="I54" s="50">
        <v>3</v>
      </c>
      <c r="L54" s="52" t="s">
        <v>200</v>
      </c>
      <c r="M54" s="53" t="s">
        <v>296</v>
      </c>
      <c r="N54" s="56">
        <v>3</v>
      </c>
    </row>
    <row r="55" spans="1:15" ht="30.75" thickBot="1" x14ac:dyDescent="0.3">
      <c r="A55" s="39" t="s">
        <v>200</v>
      </c>
      <c r="B55" s="39" t="s">
        <v>215</v>
      </c>
      <c r="C55" s="39">
        <v>3</v>
      </c>
      <c r="G55" s="48" t="s">
        <v>200</v>
      </c>
      <c r="H55" s="49" t="s">
        <v>98</v>
      </c>
      <c r="I55" s="50">
        <v>3</v>
      </c>
      <c r="L55" s="52" t="s">
        <v>200</v>
      </c>
      <c r="M55" s="53" t="s">
        <v>297</v>
      </c>
      <c r="N55" s="56">
        <v>3</v>
      </c>
    </row>
    <row r="56" spans="1:15" ht="15.75" thickBot="1" x14ac:dyDescent="0.3">
      <c r="A56" s="39" t="s">
        <v>200</v>
      </c>
      <c r="B56" s="39" t="s">
        <v>102</v>
      </c>
      <c r="C56" s="39">
        <v>3</v>
      </c>
      <c r="G56" s="48" t="s">
        <v>200</v>
      </c>
      <c r="H56" s="49" t="s">
        <v>89</v>
      </c>
      <c r="I56" s="50">
        <v>3</v>
      </c>
      <c r="L56" s="52" t="s">
        <v>200</v>
      </c>
      <c r="M56" s="53" t="s">
        <v>298</v>
      </c>
      <c r="N56" s="56">
        <v>3</v>
      </c>
    </row>
    <row r="57" spans="1:15" ht="15.75" thickBot="1" x14ac:dyDescent="0.3">
      <c r="A57" s="63" t="s">
        <v>248</v>
      </c>
      <c r="B57" s="63"/>
      <c r="C57" s="63"/>
      <c r="G57" s="48" t="s">
        <v>200</v>
      </c>
      <c r="H57" s="49" t="s">
        <v>92</v>
      </c>
      <c r="I57" s="50">
        <v>2</v>
      </c>
      <c r="L57" s="52" t="s">
        <v>200</v>
      </c>
      <c r="M57" s="53" t="s">
        <v>278</v>
      </c>
      <c r="N57" s="56">
        <v>2</v>
      </c>
    </row>
    <row r="58" spans="1:15" ht="30.75" thickBot="1" x14ac:dyDescent="0.3">
      <c r="A58" s="38" t="s">
        <v>239</v>
      </c>
      <c r="B58" s="38" t="s">
        <v>240</v>
      </c>
      <c r="C58" s="38" t="s">
        <v>213</v>
      </c>
      <c r="G58" s="48" t="s">
        <v>200</v>
      </c>
      <c r="H58" s="49" t="s">
        <v>215</v>
      </c>
      <c r="I58" s="50">
        <v>3</v>
      </c>
      <c r="L58" s="52" t="s">
        <v>200</v>
      </c>
      <c r="M58" s="53" t="s">
        <v>299</v>
      </c>
      <c r="N58" s="56">
        <v>3</v>
      </c>
    </row>
    <row r="59" spans="1:15" ht="30.75" thickBot="1" x14ac:dyDescent="0.3">
      <c r="A59" s="39" t="s">
        <v>200</v>
      </c>
      <c r="B59" s="39" t="s">
        <v>234</v>
      </c>
      <c r="C59" s="39">
        <v>2</v>
      </c>
      <c r="G59" s="48"/>
      <c r="H59" s="49" t="s">
        <v>102</v>
      </c>
      <c r="I59" s="50">
        <v>3</v>
      </c>
      <c r="J59" s="23">
        <f>SUM(I52:I59)</f>
        <v>22</v>
      </c>
      <c r="L59" s="52" t="s">
        <v>200</v>
      </c>
      <c r="M59" s="53" t="s">
        <v>300</v>
      </c>
      <c r="N59" s="56">
        <v>3</v>
      </c>
      <c r="O59" s="23">
        <f>SUM(N52:N59)</f>
        <v>22</v>
      </c>
    </row>
    <row r="60" spans="1:15" ht="15.75" thickBot="1" x14ac:dyDescent="0.3">
      <c r="A60" s="39" t="s">
        <v>200</v>
      </c>
      <c r="B60" s="39" t="s">
        <v>107</v>
      </c>
      <c r="C60" s="39">
        <v>3</v>
      </c>
      <c r="G60" s="64" t="s">
        <v>248</v>
      </c>
      <c r="H60" s="65"/>
      <c r="I60" s="66"/>
      <c r="L60" s="67" t="s">
        <v>314</v>
      </c>
      <c r="M60" s="67"/>
      <c r="N60" s="67"/>
    </row>
    <row r="61" spans="1:15" ht="30.75" thickBot="1" x14ac:dyDescent="0.3">
      <c r="A61" s="39" t="s">
        <v>200</v>
      </c>
      <c r="B61" s="39" t="s">
        <v>109</v>
      </c>
      <c r="C61" s="39">
        <v>3</v>
      </c>
      <c r="G61" s="46" t="s">
        <v>239</v>
      </c>
      <c r="H61" s="47" t="s">
        <v>240</v>
      </c>
      <c r="I61" s="47" t="s">
        <v>213</v>
      </c>
      <c r="L61" s="58" t="s">
        <v>239</v>
      </c>
      <c r="M61" s="60" t="s">
        <v>240</v>
      </c>
      <c r="N61" s="59" t="s">
        <v>313</v>
      </c>
    </row>
    <row r="62" spans="1:15" ht="30.75" thickBot="1" x14ac:dyDescent="0.3">
      <c r="A62" s="39" t="s">
        <v>200</v>
      </c>
      <c r="B62" s="39" t="s">
        <v>105</v>
      </c>
      <c r="C62" s="39">
        <v>3</v>
      </c>
      <c r="G62" s="48" t="s">
        <v>200</v>
      </c>
      <c r="H62" s="49" t="s">
        <v>257</v>
      </c>
      <c r="I62" s="50">
        <v>2</v>
      </c>
      <c r="L62" s="52" t="s">
        <v>200</v>
      </c>
      <c r="M62" s="53" t="s">
        <v>301</v>
      </c>
      <c r="N62" s="56">
        <v>2</v>
      </c>
    </row>
    <row r="63" spans="1:15" ht="15.75" thickBot="1" x14ac:dyDescent="0.3">
      <c r="A63" s="39" t="s">
        <v>200</v>
      </c>
      <c r="B63" s="39" t="s">
        <v>100</v>
      </c>
      <c r="C63" s="39">
        <v>3</v>
      </c>
      <c r="G63" s="48" t="s">
        <v>200</v>
      </c>
      <c r="H63" s="49" t="s">
        <v>107</v>
      </c>
      <c r="I63" s="50">
        <v>3</v>
      </c>
      <c r="L63" s="52" t="s">
        <v>200</v>
      </c>
      <c r="M63" s="53" t="s">
        <v>302</v>
      </c>
      <c r="N63" s="56">
        <v>2</v>
      </c>
    </row>
    <row r="64" spans="1:15" ht="30.75" thickBot="1" x14ac:dyDescent="0.3">
      <c r="A64" s="39" t="s">
        <v>200</v>
      </c>
      <c r="B64" s="39" t="s">
        <v>101</v>
      </c>
      <c r="C64" s="39">
        <v>3</v>
      </c>
      <c r="G64" s="48" t="s">
        <v>200</v>
      </c>
      <c r="H64" s="49" t="s">
        <v>109</v>
      </c>
      <c r="I64" s="50">
        <v>3</v>
      </c>
      <c r="L64" s="52" t="s">
        <v>200</v>
      </c>
      <c r="M64" s="53" t="s">
        <v>303</v>
      </c>
      <c r="N64" s="56">
        <v>3</v>
      </c>
    </row>
    <row r="65" spans="1:15" ht="30.75" thickBot="1" x14ac:dyDescent="0.3">
      <c r="A65" s="39" t="s">
        <v>200</v>
      </c>
      <c r="B65" s="39" t="s">
        <v>238</v>
      </c>
      <c r="C65" s="39">
        <v>2</v>
      </c>
      <c r="G65" s="48" t="s">
        <v>200</v>
      </c>
      <c r="H65" s="49" t="s">
        <v>105</v>
      </c>
      <c r="I65" s="50">
        <v>3</v>
      </c>
      <c r="L65" s="52" t="s">
        <v>200</v>
      </c>
      <c r="M65" s="53" t="s">
        <v>304</v>
      </c>
      <c r="N65" s="56">
        <v>3</v>
      </c>
    </row>
    <row r="66" spans="1:15" ht="15.75" thickBot="1" x14ac:dyDescent="0.3">
      <c r="A66" s="39" t="s">
        <v>200</v>
      </c>
      <c r="B66" s="39" t="s">
        <v>94</v>
      </c>
      <c r="C66" s="39">
        <v>3</v>
      </c>
      <c r="G66" s="48" t="s">
        <v>200</v>
      </c>
      <c r="H66" s="49" t="s">
        <v>100</v>
      </c>
      <c r="I66" s="50">
        <v>3</v>
      </c>
      <c r="L66" s="52" t="s">
        <v>200</v>
      </c>
      <c r="M66" s="53" t="s">
        <v>305</v>
      </c>
      <c r="N66" s="56">
        <v>2</v>
      </c>
    </row>
    <row r="67" spans="1:15" ht="15.75" thickBot="1" x14ac:dyDescent="0.3">
      <c r="A67" s="63" t="s">
        <v>249</v>
      </c>
      <c r="B67" s="63"/>
      <c r="C67" s="63"/>
      <c r="G67" s="48" t="s">
        <v>200</v>
      </c>
      <c r="H67" s="49" t="s">
        <v>101</v>
      </c>
      <c r="I67" s="50">
        <v>3</v>
      </c>
      <c r="L67" s="52" t="s">
        <v>200</v>
      </c>
      <c r="M67" s="53" t="s">
        <v>306</v>
      </c>
      <c r="N67" s="56">
        <v>2</v>
      </c>
    </row>
    <row r="68" spans="1:15" ht="30.75" thickBot="1" x14ac:dyDescent="0.3">
      <c r="A68" s="38" t="s">
        <v>239</v>
      </c>
      <c r="B68" s="38" t="s">
        <v>240</v>
      </c>
      <c r="C68" s="38" t="s">
        <v>213</v>
      </c>
      <c r="G68" s="48" t="s">
        <v>200</v>
      </c>
      <c r="H68" s="49" t="s">
        <v>238</v>
      </c>
      <c r="I68" s="50">
        <v>2</v>
      </c>
      <c r="L68" s="52" t="s">
        <v>200</v>
      </c>
      <c r="M68" s="53" t="s">
        <v>307</v>
      </c>
      <c r="N68" s="56">
        <v>2</v>
      </c>
    </row>
    <row r="69" spans="1:15" ht="15.75" thickBot="1" x14ac:dyDescent="0.3">
      <c r="A69" s="39" t="s">
        <v>200</v>
      </c>
      <c r="B69" s="39" t="s">
        <v>95</v>
      </c>
      <c r="C69" s="39">
        <v>3</v>
      </c>
      <c r="G69" s="48" t="s">
        <v>200</v>
      </c>
      <c r="H69" s="49" t="s">
        <v>94</v>
      </c>
      <c r="I69" s="50">
        <v>3</v>
      </c>
      <c r="J69" s="23">
        <f>SUM(I62:I69)</f>
        <v>22</v>
      </c>
      <c r="L69" s="52" t="s">
        <v>200</v>
      </c>
      <c r="M69" s="53" t="s">
        <v>308</v>
      </c>
      <c r="N69" s="56">
        <v>3</v>
      </c>
      <c r="O69" s="23">
        <f>SUM(N62:N69)</f>
        <v>19</v>
      </c>
    </row>
    <row r="70" spans="1:15" ht="15.75" thickBot="1" x14ac:dyDescent="0.3">
      <c r="A70" s="39" t="s">
        <v>200</v>
      </c>
      <c r="B70" s="39" t="s">
        <v>91</v>
      </c>
      <c r="C70" s="39">
        <v>2</v>
      </c>
      <c r="G70" s="64" t="s">
        <v>249</v>
      </c>
      <c r="H70" s="65"/>
      <c r="I70" s="66"/>
      <c r="L70" s="67" t="s">
        <v>315</v>
      </c>
      <c r="M70" s="67"/>
      <c r="N70" s="67"/>
    </row>
    <row r="71" spans="1:15" ht="30.75" thickBot="1" x14ac:dyDescent="0.3">
      <c r="A71" s="39" t="s">
        <v>200</v>
      </c>
      <c r="B71" s="39" t="s">
        <v>241</v>
      </c>
      <c r="C71" s="39">
        <v>2</v>
      </c>
      <c r="G71" s="46" t="s">
        <v>239</v>
      </c>
      <c r="H71" s="47" t="s">
        <v>240</v>
      </c>
      <c r="I71" s="47" t="s">
        <v>213</v>
      </c>
      <c r="L71" s="58" t="s">
        <v>239</v>
      </c>
      <c r="M71" s="60" t="s">
        <v>240</v>
      </c>
      <c r="N71" s="59" t="s">
        <v>313</v>
      </c>
    </row>
    <row r="72" spans="1:15" ht="15.75" thickBot="1" x14ac:dyDescent="0.3">
      <c r="A72" s="39" t="s">
        <v>200</v>
      </c>
      <c r="B72" s="39" t="s">
        <v>113</v>
      </c>
      <c r="C72" s="39">
        <v>6</v>
      </c>
      <c r="G72" s="48" t="s">
        <v>200</v>
      </c>
      <c r="H72" s="49" t="s">
        <v>95</v>
      </c>
      <c r="I72" s="50">
        <v>3</v>
      </c>
      <c r="L72" s="52" t="s">
        <v>200</v>
      </c>
      <c r="M72" s="53" t="s">
        <v>309</v>
      </c>
      <c r="N72" s="56">
        <v>3</v>
      </c>
    </row>
    <row r="73" spans="1:15" ht="30.75" thickBot="1" x14ac:dyDescent="0.3">
      <c r="G73" s="48" t="s">
        <v>200</v>
      </c>
      <c r="H73" s="49" t="s">
        <v>91</v>
      </c>
      <c r="I73" s="50">
        <v>2</v>
      </c>
      <c r="L73" s="52" t="s">
        <v>200</v>
      </c>
      <c r="M73" s="53" t="s">
        <v>310</v>
      </c>
      <c r="N73" s="56">
        <v>2</v>
      </c>
    </row>
    <row r="74" spans="1:15" ht="30.75" thickBot="1" x14ac:dyDescent="0.3">
      <c r="G74" s="48" t="s">
        <v>200</v>
      </c>
      <c r="H74" s="49" t="s">
        <v>241</v>
      </c>
      <c r="I74" s="50">
        <v>2</v>
      </c>
      <c r="L74" s="52" t="s">
        <v>200</v>
      </c>
      <c r="M74" s="53" t="s">
        <v>311</v>
      </c>
      <c r="N74" s="56">
        <v>2</v>
      </c>
    </row>
    <row r="75" spans="1:15" ht="15.75" thickBot="1" x14ac:dyDescent="0.3">
      <c r="G75" s="48" t="s">
        <v>200</v>
      </c>
      <c r="H75" s="49" t="s">
        <v>113</v>
      </c>
      <c r="I75" s="50">
        <v>6</v>
      </c>
      <c r="J75" s="23">
        <f>SUM(I72:I75)</f>
        <v>13</v>
      </c>
      <c r="L75" s="52" t="s">
        <v>200</v>
      </c>
      <c r="M75" s="53" t="s">
        <v>312</v>
      </c>
      <c r="N75" s="56">
        <v>6</v>
      </c>
      <c r="O75" s="23">
        <f>SUM(N72:N75)</f>
        <v>13</v>
      </c>
    </row>
    <row r="76" spans="1:15" x14ac:dyDescent="0.25">
      <c r="J76" s="23">
        <f>SUM(J3:J75)</f>
        <v>146</v>
      </c>
      <c r="M76" s="54" t="s">
        <v>322</v>
      </c>
      <c r="O76" s="23">
        <f>SUM(O3:O75)</f>
        <v>144</v>
      </c>
    </row>
  </sheetData>
  <mergeCells count="24">
    <mergeCell ref="L31:N31"/>
    <mergeCell ref="L40:N40"/>
    <mergeCell ref="L50:N50"/>
    <mergeCell ref="L60:N60"/>
    <mergeCell ref="L70:N70"/>
    <mergeCell ref="G31:I31"/>
    <mergeCell ref="G40:I40"/>
    <mergeCell ref="G50:I50"/>
    <mergeCell ref="G60:I60"/>
    <mergeCell ref="G70:I70"/>
    <mergeCell ref="G2:I2"/>
    <mergeCell ref="G12:I12"/>
    <mergeCell ref="G22:I22"/>
    <mergeCell ref="L2:N2"/>
    <mergeCell ref="L12:N12"/>
    <mergeCell ref="L22:N22"/>
    <mergeCell ref="A57:C57"/>
    <mergeCell ref="A67:C67"/>
    <mergeCell ref="A2:C2"/>
    <mergeCell ref="A12:C12"/>
    <mergeCell ref="A22:C22"/>
    <mergeCell ref="A31:C31"/>
    <mergeCell ref="A40:C40"/>
    <mergeCell ref="A48:C4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2C3C-EBD6-4E54-AEF7-5E2E5B1A91C2}">
  <dimension ref="A1:E104"/>
  <sheetViews>
    <sheetView topLeftCell="B68" workbookViewId="0">
      <selection activeCell="D104" sqref="D104"/>
    </sheetView>
  </sheetViews>
  <sheetFormatPr defaultRowHeight="15" x14ac:dyDescent="0.25"/>
  <cols>
    <col min="1" max="1" width="68.85546875" style="62" bestFit="1" customWidth="1"/>
    <col min="2" max="2" width="52" style="102" bestFit="1" customWidth="1"/>
    <col min="3" max="3" width="40" style="62" bestFit="1" customWidth="1"/>
    <col min="4" max="4" width="4.140625" style="62" bestFit="1" customWidth="1"/>
    <col min="5" max="5" width="6.140625" style="62" bestFit="1" customWidth="1"/>
    <col min="6" max="16384" width="9.140625" style="62"/>
  </cols>
  <sheetData>
    <row r="1" spans="1:5" ht="18" x14ac:dyDescent="0.25">
      <c r="A1" s="100" t="s">
        <v>493</v>
      </c>
    </row>
    <row r="3" spans="1:5" ht="15.75" x14ac:dyDescent="0.25">
      <c r="B3" s="103" t="s">
        <v>494</v>
      </c>
    </row>
    <row r="5" spans="1:5" x14ac:dyDescent="0.25">
      <c r="B5" s="90" t="s">
        <v>165</v>
      </c>
      <c r="C5" s="7" t="s">
        <v>75</v>
      </c>
      <c r="D5" s="7" t="s">
        <v>213</v>
      </c>
      <c r="E5" s="7" t="s">
        <v>411</v>
      </c>
    </row>
    <row r="6" spans="1:5" x14ac:dyDescent="0.25">
      <c r="B6" s="91">
        <v>1</v>
      </c>
      <c r="C6" s="6" t="s">
        <v>119</v>
      </c>
      <c r="D6" s="6">
        <v>3</v>
      </c>
      <c r="E6" s="6" t="s">
        <v>413</v>
      </c>
    </row>
    <row r="7" spans="1:5" x14ac:dyDescent="0.25">
      <c r="B7" s="91">
        <v>2</v>
      </c>
      <c r="C7" s="6" t="s">
        <v>120</v>
      </c>
      <c r="D7" s="6">
        <v>3</v>
      </c>
      <c r="E7" s="6" t="s">
        <v>413</v>
      </c>
    </row>
    <row r="8" spans="1:5" x14ac:dyDescent="0.25">
      <c r="B8" s="91">
        <v>3</v>
      </c>
      <c r="C8" s="6" t="s">
        <v>154</v>
      </c>
      <c r="D8" s="6">
        <v>2</v>
      </c>
      <c r="E8" s="6" t="s">
        <v>413</v>
      </c>
    </row>
    <row r="9" spans="1:5" x14ac:dyDescent="0.25">
      <c r="B9" s="91">
        <v>4</v>
      </c>
      <c r="C9" s="6" t="s">
        <v>78</v>
      </c>
      <c r="D9" s="6">
        <v>3</v>
      </c>
      <c r="E9" s="6" t="s">
        <v>413</v>
      </c>
    </row>
    <row r="10" spans="1:5" x14ac:dyDescent="0.25">
      <c r="B10" s="91">
        <v>5</v>
      </c>
      <c r="C10" s="6" t="s">
        <v>111</v>
      </c>
      <c r="D10" s="6">
        <v>2</v>
      </c>
      <c r="E10" s="6" t="s">
        <v>413</v>
      </c>
    </row>
    <row r="11" spans="1:5" x14ac:dyDescent="0.25">
      <c r="B11" s="91">
        <v>6</v>
      </c>
      <c r="C11" s="6" t="s">
        <v>495</v>
      </c>
      <c r="D11" s="6">
        <v>2</v>
      </c>
      <c r="E11" s="6" t="s">
        <v>413</v>
      </c>
    </row>
    <row r="12" spans="1:5" x14ac:dyDescent="0.25">
      <c r="B12" s="91">
        <v>7</v>
      </c>
      <c r="C12" s="6" t="s">
        <v>211</v>
      </c>
      <c r="D12" s="6">
        <v>2</v>
      </c>
      <c r="E12" s="6" t="s">
        <v>413</v>
      </c>
    </row>
    <row r="13" spans="1:5" x14ac:dyDescent="0.25">
      <c r="B13" s="91">
        <v>8</v>
      </c>
      <c r="C13" s="6" t="s">
        <v>150</v>
      </c>
      <c r="D13" s="6">
        <v>2</v>
      </c>
      <c r="E13" s="6" t="s">
        <v>413</v>
      </c>
    </row>
    <row r="14" spans="1:5" x14ac:dyDescent="0.25">
      <c r="B14" s="101" t="s">
        <v>496</v>
      </c>
      <c r="C14" s="6"/>
      <c r="D14" s="104">
        <v>19</v>
      </c>
      <c r="E14" s="6"/>
    </row>
    <row r="17" spans="2:5" ht="15.75" x14ac:dyDescent="0.25">
      <c r="B17" s="103" t="s">
        <v>497</v>
      </c>
    </row>
    <row r="19" spans="2:5" x14ac:dyDescent="0.25">
      <c r="B19" s="90" t="s">
        <v>165</v>
      </c>
      <c r="C19" s="7" t="s">
        <v>75</v>
      </c>
      <c r="D19" s="7" t="s">
        <v>213</v>
      </c>
      <c r="E19" s="7" t="s">
        <v>411</v>
      </c>
    </row>
    <row r="20" spans="2:5" x14ac:dyDescent="0.25">
      <c r="B20" s="91">
        <v>1</v>
      </c>
      <c r="C20" s="6" t="s">
        <v>498</v>
      </c>
      <c r="D20" s="6">
        <v>2</v>
      </c>
      <c r="E20" s="6" t="s">
        <v>413</v>
      </c>
    </row>
    <row r="21" spans="2:5" x14ac:dyDescent="0.25">
      <c r="B21" s="91">
        <v>2</v>
      </c>
      <c r="C21" s="6" t="s">
        <v>79</v>
      </c>
      <c r="D21" s="6">
        <v>3</v>
      </c>
      <c r="E21" s="6" t="s">
        <v>419</v>
      </c>
    </row>
    <row r="22" spans="2:5" x14ac:dyDescent="0.25">
      <c r="B22" s="91">
        <v>3</v>
      </c>
      <c r="C22" s="6" t="s">
        <v>152</v>
      </c>
      <c r="D22" s="6">
        <v>2</v>
      </c>
      <c r="E22" s="6" t="s">
        <v>413</v>
      </c>
    </row>
    <row r="23" spans="2:5" x14ac:dyDescent="0.25">
      <c r="B23" s="91">
        <v>4</v>
      </c>
      <c r="C23" s="6" t="s">
        <v>157</v>
      </c>
      <c r="D23" s="6">
        <v>2</v>
      </c>
      <c r="E23" s="6" t="s">
        <v>413</v>
      </c>
    </row>
    <row r="24" spans="2:5" x14ac:dyDescent="0.25">
      <c r="B24" s="91">
        <v>5</v>
      </c>
      <c r="C24" s="6" t="s">
        <v>126</v>
      </c>
      <c r="D24" s="6">
        <v>3</v>
      </c>
      <c r="E24" s="6" t="s">
        <v>419</v>
      </c>
    </row>
    <row r="25" spans="2:5" x14ac:dyDescent="0.25">
      <c r="B25" s="101" t="s">
        <v>496</v>
      </c>
      <c r="C25" s="6"/>
      <c r="D25" s="104">
        <v>12</v>
      </c>
      <c r="E25" s="6"/>
    </row>
    <row r="28" spans="2:5" ht="15.75" x14ac:dyDescent="0.25">
      <c r="B28" s="103" t="s">
        <v>499</v>
      </c>
    </row>
    <row r="30" spans="2:5" x14ac:dyDescent="0.25">
      <c r="B30" s="90" t="s">
        <v>165</v>
      </c>
      <c r="C30" s="7" t="s">
        <v>75</v>
      </c>
      <c r="D30" s="7" t="s">
        <v>213</v>
      </c>
      <c r="E30" s="7" t="s">
        <v>411</v>
      </c>
    </row>
    <row r="31" spans="2:5" x14ac:dyDescent="0.25">
      <c r="B31" s="91">
        <v>1</v>
      </c>
      <c r="C31" s="6" t="s">
        <v>500</v>
      </c>
      <c r="D31" s="6">
        <v>2</v>
      </c>
      <c r="E31" s="6" t="s">
        <v>419</v>
      </c>
    </row>
    <row r="32" spans="2:5" x14ac:dyDescent="0.25">
      <c r="B32" s="91">
        <v>2</v>
      </c>
      <c r="C32" s="6" t="s">
        <v>424</v>
      </c>
      <c r="D32" s="6">
        <v>3</v>
      </c>
      <c r="E32" s="6" t="s">
        <v>419</v>
      </c>
    </row>
    <row r="33" spans="2:5" x14ac:dyDescent="0.25">
      <c r="B33" s="91">
        <v>3</v>
      </c>
      <c r="C33" s="6" t="s">
        <v>425</v>
      </c>
      <c r="D33" s="6">
        <v>3</v>
      </c>
      <c r="E33" s="6" t="s">
        <v>419</v>
      </c>
    </row>
    <row r="34" spans="2:5" x14ac:dyDescent="0.25">
      <c r="B34" s="91">
        <v>4</v>
      </c>
      <c r="C34" s="6" t="s">
        <v>93</v>
      </c>
      <c r="D34" s="6">
        <v>2</v>
      </c>
      <c r="E34" s="6" t="s">
        <v>419</v>
      </c>
    </row>
    <row r="35" spans="2:5" x14ac:dyDescent="0.25">
      <c r="B35" s="91">
        <v>5</v>
      </c>
      <c r="C35" s="6" t="s">
        <v>233</v>
      </c>
      <c r="D35" s="6">
        <v>3</v>
      </c>
      <c r="E35" s="6" t="s">
        <v>419</v>
      </c>
    </row>
    <row r="36" spans="2:5" x14ac:dyDescent="0.25">
      <c r="B36" s="91">
        <v>6</v>
      </c>
      <c r="C36" s="6" t="s">
        <v>235</v>
      </c>
      <c r="D36" s="6">
        <v>2</v>
      </c>
      <c r="E36" s="6" t="s">
        <v>413</v>
      </c>
    </row>
    <row r="37" spans="2:5" x14ac:dyDescent="0.25">
      <c r="B37" s="91">
        <v>7</v>
      </c>
      <c r="C37" s="6" t="s">
        <v>92</v>
      </c>
      <c r="D37" s="6">
        <v>2</v>
      </c>
      <c r="E37" s="6" t="s">
        <v>419</v>
      </c>
    </row>
    <row r="38" spans="2:5" x14ac:dyDescent="0.25">
      <c r="B38" s="101" t="s">
        <v>496</v>
      </c>
      <c r="C38" s="6"/>
      <c r="D38" s="104">
        <v>17</v>
      </c>
      <c r="E38" s="6"/>
    </row>
    <row r="41" spans="2:5" ht="15.75" x14ac:dyDescent="0.25">
      <c r="B41" s="103" t="s">
        <v>501</v>
      </c>
    </row>
    <row r="43" spans="2:5" x14ac:dyDescent="0.25">
      <c r="B43" s="90" t="s">
        <v>165</v>
      </c>
      <c r="C43" s="7" t="s">
        <v>75</v>
      </c>
      <c r="D43" s="7" t="s">
        <v>213</v>
      </c>
      <c r="E43" s="7" t="s">
        <v>411</v>
      </c>
    </row>
    <row r="44" spans="2:5" x14ac:dyDescent="0.25">
      <c r="B44" s="91">
        <v>1</v>
      </c>
      <c r="C44" s="6" t="s">
        <v>502</v>
      </c>
      <c r="D44" s="6">
        <v>2</v>
      </c>
      <c r="E44" s="6" t="s">
        <v>419</v>
      </c>
    </row>
    <row r="45" spans="2:5" x14ac:dyDescent="0.25">
      <c r="B45" s="91">
        <v>2</v>
      </c>
      <c r="C45" s="6" t="s">
        <v>123</v>
      </c>
      <c r="D45" s="6">
        <v>3</v>
      </c>
      <c r="E45" s="6" t="s">
        <v>419</v>
      </c>
    </row>
    <row r="46" spans="2:5" x14ac:dyDescent="0.25">
      <c r="B46" s="91">
        <v>3</v>
      </c>
      <c r="C46" s="6" t="s">
        <v>124</v>
      </c>
      <c r="D46" s="6">
        <v>3</v>
      </c>
      <c r="E46" s="6" t="s">
        <v>419</v>
      </c>
    </row>
    <row r="47" spans="2:5" x14ac:dyDescent="0.25">
      <c r="B47" s="91">
        <v>4</v>
      </c>
      <c r="C47" s="6" t="s">
        <v>428</v>
      </c>
      <c r="D47" s="6">
        <v>3</v>
      </c>
      <c r="E47" s="6" t="s">
        <v>419</v>
      </c>
    </row>
    <row r="48" spans="2:5" x14ac:dyDescent="0.25">
      <c r="B48" s="91">
        <v>5</v>
      </c>
      <c r="C48" s="6" t="s">
        <v>86</v>
      </c>
      <c r="D48" s="6">
        <v>3</v>
      </c>
      <c r="E48" s="6" t="s">
        <v>419</v>
      </c>
    </row>
    <row r="49" spans="2:5" x14ac:dyDescent="0.25">
      <c r="B49" s="91">
        <v>6</v>
      </c>
      <c r="C49" s="6" t="s">
        <v>232</v>
      </c>
      <c r="D49" s="6">
        <v>3</v>
      </c>
      <c r="E49" s="6" t="s">
        <v>419</v>
      </c>
    </row>
    <row r="50" spans="2:5" x14ac:dyDescent="0.25">
      <c r="B50" s="91">
        <v>7</v>
      </c>
      <c r="C50" s="6" t="s">
        <v>82</v>
      </c>
      <c r="D50" s="6">
        <v>3</v>
      </c>
      <c r="E50" s="6" t="s">
        <v>419</v>
      </c>
    </row>
    <row r="51" spans="2:5" x14ac:dyDescent="0.25">
      <c r="B51" s="101" t="s">
        <v>496</v>
      </c>
      <c r="C51" s="6"/>
      <c r="D51" s="104">
        <v>20</v>
      </c>
      <c r="E51" s="6"/>
    </row>
    <row r="54" spans="2:5" ht="15.75" x14ac:dyDescent="0.25">
      <c r="B54" s="103" t="s">
        <v>503</v>
      </c>
    </row>
    <row r="56" spans="2:5" x14ac:dyDescent="0.25">
      <c r="B56" s="90" t="s">
        <v>165</v>
      </c>
      <c r="C56" s="7" t="s">
        <v>75</v>
      </c>
      <c r="D56" s="7" t="s">
        <v>213</v>
      </c>
      <c r="E56" s="7" t="s">
        <v>411</v>
      </c>
    </row>
    <row r="57" spans="2:5" x14ac:dyDescent="0.25">
      <c r="B57" s="91">
        <v>1</v>
      </c>
      <c r="C57" s="6" t="s">
        <v>504</v>
      </c>
      <c r="D57" s="6">
        <v>2</v>
      </c>
      <c r="E57" s="6" t="s">
        <v>419</v>
      </c>
    </row>
    <row r="58" spans="2:5" x14ac:dyDescent="0.25">
      <c r="B58" s="91">
        <v>2</v>
      </c>
      <c r="C58" s="6" t="s">
        <v>129</v>
      </c>
      <c r="D58" s="6">
        <v>3</v>
      </c>
      <c r="E58" s="6" t="s">
        <v>427</v>
      </c>
    </row>
    <row r="59" spans="2:5" x14ac:dyDescent="0.25">
      <c r="B59" s="91">
        <v>3</v>
      </c>
      <c r="C59" s="6" t="s">
        <v>80</v>
      </c>
      <c r="D59" s="6">
        <v>3</v>
      </c>
      <c r="E59" s="6" t="s">
        <v>427</v>
      </c>
    </row>
    <row r="60" spans="2:5" x14ac:dyDescent="0.25">
      <c r="B60" s="91">
        <v>4</v>
      </c>
      <c r="C60" s="6" t="s">
        <v>96</v>
      </c>
      <c r="D60" s="6">
        <v>3</v>
      </c>
      <c r="E60" s="6" t="s">
        <v>419</v>
      </c>
    </row>
    <row r="61" spans="2:5" x14ac:dyDescent="0.25">
      <c r="B61" s="91">
        <v>5</v>
      </c>
      <c r="C61" s="6" t="s">
        <v>97</v>
      </c>
      <c r="D61" s="6">
        <v>3</v>
      </c>
      <c r="E61" s="6" t="s">
        <v>419</v>
      </c>
    </row>
    <row r="62" spans="2:5" x14ac:dyDescent="0.25">
      <c r="B62" s="91">
        <v>6</v>
      </c>
      <c r="C62" s="6" t="s">
        <v>88</v>
      </c>
      <c r="D62" s="6">
        <v>3</v>
      </c>
      <c r="E62" s="6" t="s">
        <v>419</v>
      </c>
    </row>
    <row r="63" spans="2:5" x14ac:dyDescent="0.25">
      <c r="B63" s="91">
        <v>7</v>
      </c>
      <c r="C63" s="6" t="s">
        <v>99</v>
      </c>
      <c r="D63" s="6">
        <v>3</v>
      </c>
      <c r="E63" s="6" t="s">
        <v>419</v>
      </c>
    </row>
    <row r="64" spans="2:5" x14ac:dyDescent="0.25">
      <c r="B64" s="91">
        <v>8</v>
      </c>
      <c r="C64" s="6" t="s">
        <v>436</v>
      </c>
      <c r="D64" s="6">
        <v>2</v>
      </c>
      <c r="E64" s="6" t="s">
        <v>419</v>
      </c>
    </row>
    <row r="65" spans="2:5" x14ac:dyDescent="0.25">
      <c r="B65" s="101" t="s">
        <v>496</v>
      </c>
      <c r="C65" s="6"/>
      <c r="D65" s="104">
        <v>22</v>
      </c>
      <c r="E65" s="6"/>
    </row>
    <row r="68" spans="2:5" ht="15.75" x14ac:dyDescent="0.25">
      <c r="B68" s="103" t="s">
        <v>505</v>
      </c>
    </row>
    <row r="70" spans="2:5" x14ac:dyDescent="0.25">
      <c r="B70" s="90" t="s">
        <v>165</v>
      </c>
      <c r="C70" s="7" t="s">
        <v>75</v>
      </c>
      <c r="D70" s="7" t="s">
        <v>213</v>
      </c>
      <c r="E70" s="7" t="s">
        <v>411</v>
      </c>
    </row>
    <row r="71" spans="2:5" x14ac:dyDescent="0.25">
      <c r="B71" s="91">
        <v>1</v>
      </c>
      <c r="C71" s="6" t="s">
        <v>506</v>
      </c>
      <c r="D71" s="6">
        <v>2</v>
      </c>
      <c r="E71" s="6" t="s">
        <v>419</v>
      </c>
    </row>
    <row r="72" spans="2:5" x14ac:dyDescent="0.25">
      <c r="B72" s="91">
        <v>2</v>
      </c>
      <c r="C72" s="6" t="s">
        <v>84</v>
      </c>
      <c r="D72" s="6">
        <v>3</v>
      </c>
      <c r="E72" s="6" t="s">
        <v>427</v>
      </c>
    </row>
    <row r="73" spans="2:5" x14ac:dyDescent="0.25">
      <c r="B73" s="91">
        <v>3</v>
      </c>
      <c r="C73" s="6" t="s">
        <v>106</v>
      </c>
      <c r="D73" s="6">
        <v>3</v>
      </c>
      <c r="E73" s="6" t="s">
        <v>427</v>
      </c>
    </row>
    <row r="74" spans="2:5" x14ac:dyDescent="0.25">
      <c r="B74" s="91">
        <v>4</v>
      </c>
      <c r="C74" s="6" t="s">
        <v>98</v>
      </c>
      <c r="D74" s="6">
        <v>3</v>
      </c>
      <c r="E74" s="6" t="s">
        <v>427</v>
      </c>
    </row>
    <row r="75" spans="2:5" x14ac:dyDescent="0.25">
      <c r="B75" s="91">
        <v>5</v>
      </c>
      <c r="C75" s="6" t="s">
        <v>89</v>
      </c>
      <c r="D75" s="6">
        <v>3</v>
      </c>
      <c r="E75" s="6" t="s">
        <v>419</v>
      </c>
    </row>
    <row r="76" spans="2:5" x14ac:dyDescent="0.25">
      <c r="B76" s="91">
        <v>6</v>
      </c>
      <c r="C76" s="6" t="s">
        <v>92</v>
      </c>
      <c r="D76" s="6">
        <v>2</v>
      </c>
      <c r="E76" s="6" t="s">
        <v>419</v>
      </c>
    </row>
    <row r="77" spans="2:5" x14ac:dyDescent="0.25">
      <c r="B77" s="91">
        <v>7</v>
      </c>
      <c r="C77" s="6" t="s">
        <v>441</v>
      </c>
      <c r="D77" s="6">
        <v>3</v>
      </c>
      <c r="E77" s="6" t="s">
        <v>427</v>
      </c>
    </row>
    <row r="78" spans="2:5" x14ac:dyDescent="0.25">
      <c r="B78" s="91">
        <v>8</v>
      </c>
      <c r="C78" s="6" t="s">
        <v>102</v>
      </c>
      <c r="D78" s="6">
        <v>3</v>
      </c>
      <c r="E78" s="6" t="s">
        <v>427</v>
      </c>
    </row>
    <row r="79" spans="2:5" x14ac:dyDescent="0.25">
      <c r="B79" s="101" t="s">
        <v>496</v>
      </c>
      <c r="C79" s="6"/>
      <c r="D79" s="104">
        <v>22</v>
      </c>
      <c r="E79" s="6"/>
    </row>
    <row r="82" spans="2:5" ht="15.75" x14ac:dyDescent="0.25">
      <c r="B82" s="103" t="s">
        <v>507</v>
      </c>
    </row>
    <row r="84" spans="2:5" x14ac:dyDescent="0.25">
      <c r="B84" s="90" t="s">
        <v>165</v>
      </c>
      <c r="C84" s="7" t="s">
        <v>75</v>
      </c>
      <c r="D84" s="7" t="s">
        <v>213</v>
      </c>
      <c r="E84" s="7" t="s">
        <v>411</v>
      </c>
    </row>
    <row r="85" spans="2:5" x14ac:dyDescent="0.25">
      <c r="B85" s="91">
        <v>1</v>
      </c>
      <c r="C85" s="6" t="s">
        <v>508</v>
      </c>
      <c r="D85" s="6">
        <v>2</v>
      </c>
      <c r="E85" s="6" t="s">
        <v>419</v>
      </c>
    </row>
    <row r="86" spans="2:5" x14ac:dyDescent="0.25">
      <c r="B86" s="91">
        <v>2</v>
      </c>
      <c r="C86" s="6" t="s">
        <v>107</v>
      </c>
      <c r="D86" s="6">
        <v>2</v>
      </c>
      <c r="E86" s="6" t="s">
        <v>427</v>
      </c>
    </row>
    <row r="87" spans="2:5" x14ac:dyDescent="0.25">
      <c r="B87" s="91">
        <v>3</v>
      </c>
      <c r="C87" s="6" t="s">
        <v>109</v>
      </c>
      <c r="D87" s="6">
        <v>3</v>
      </c>
      <c r="E87" s="6" t="s">
        <v>427</v>
      </c>
    </row>
    <row r="88" spans="2:5" x14ac:dyDescent="0.25">
      <c r="B88" s="91">
        <v>4</v>
      </c>
      <c r="C88" s="6" t="s">
        <v>105</v>
      </c>
      <c r="D88" s="6">
        <v>3</v>
      </c>
      <c r="E88" s="6" t="s">
        <v>427</v>
      </c>
    </row>
    <row r="89" spans="2:5" x14ac:dyDescent="0.25">
      <c r="B89" s="91">
        <v>5</v>
      </c>
      <c r="C89" s="6" t="s">
        <v>100</v>
      </c>
      <c r="D89" s="6">
        <v>3</v>
      </c>
      <c r="E89" s="6" t="s">
        <v>427</v>
      </c>
    </row>
    <row r="90" spans="2:5" x14ac:dyDescent="0.25">
      <c r="B90" s="91">
        <v>6</v>
      </c>
      <c r="C90" s="6" t="s">
        <v>101</v>
      </c>
      <c r="D90" s="6">
        <v>3</v>
      </c>
      <c r="E90" s="6" t="s">
        <v>427</v>
      </c>
    </row>
    <row r="91" spans="2:5" x14ac:dyDescent="0.25">
      <c r="B91" s="91">
        <v>7</v>
      </c>
      <c r="C91" s="6" t="s">
        <v>238</v>
      </c>
      <c r="D91" s="6">
        <v>3</v>
      </c>
      <c r="E91" s="6" t="s">
        <v>427</v>
      </c>
    </row>
    <row r="92" spans="2:5" x14ac:dyDescent="0.25">
      <c r="B92" s="91">
        <v>8</v>
      </c>
      <c r="C92" s="6" t="s">
        <v>94</v>
      </c>
      <c r="D92" s="6">
        <v>3</v>
      </c>
      <c r="E92" s="6" t="s">
        <v>427</v>
      </c>
    </row>
    <row r="93" spans="2:5" x14ac:dyDescent="0.25">
      <c r="B93" s="101" t="s">
        <v>496</v>
      </c>
      <c r="C93" s="6"/>
      <c r="D93" s="104">
        <v>22</v>
      </c>
      <c r="E93" s="6"/>
    </row>
    <row r="96" spans="2:5" ht="15.75" x14ac:dyDescent="0.25">
      <c r="B96" s="103" t="s">
        <v>509</v>
      </c>
    </row>
    <row r="98" spans="2:5" x14ac:dyDescent="0.25">
      <c r="B98" s="90" t="s">
        <v>165</v>
      </c>
      <c r="C98" s="7" t="s">
        <v>75</v>
      </c>
      <c r="D98" s="7" t="s">
        <v>213</v>
      </c>
      <c r="E98" s="7" t="s">
        <v>411</v>
      </c>
    </row>
    <row r="99" spans="2:5" x14ac:dyDescent="0.25">
      <c r="B99" s="91">
        <v>1</v>
      </c>
      <c r="C99" s="6" t="s">
        <v>95</v>
      </c>
      <c r="D99" s="6">
        <v>3</v>
      </c>
      <c r="E99" s="6" t="s">
        <v>427</v>
      </c>
    </row>
    <row r="100" spans="2:5" x14ac:dyDescent="0.25">
      <c r="B100" s="91">
        <v>2</v>
      </c>
      <c r="C100" s="6" t="s">
        <v>91</v>
      </c>
      <c r="D100" s="6">
        <v>2</v>
      </c>
      <c r="E100" s="6" t="s">
        <v>427</v>
      </c>
    </row>
    <row r="101" spans="2:5" x14ac:dyDescent="0.25">
      <c r="B101" s="91">
        <v>3</v>
      </c>
      <c r="C101" s="6" t="s">
        <v>510</v>
      </c>
      <c r="D101" s="6">
        <v>2</v>
      </c>
      <c r="E101" s="6" t="s">
        <v>427</v>
      </c>
    </row>
    <row r="102" spans="2:5" x14ac:dyDescent="0.25">
      <c r="B102" s="91">
        <v>4</v>
      </c>
      <c r="C102" s="6" t="s">
        <v>113</v>
      </c>
      <c r="D102" s="6">
        <v>6</v>
      </c>
      <c r="E102" s="6" t="s">
        <v>427</v>
      </c>
    </row>
    <row r="103" spans="2:5" x14ac:dyDescent="0.25">
      <c r="B103" s="101" t="s">
        <v>496</v>
      </c>
      <c r="C103" s="6"/>
      <c r="D103" s="104">
        <v>13</v>
      </c>
      <c r="E103" s="6"/>
    </row>
    <row r="104" spans="2:5" x14ac:dyDescent="0.25">
      <c r="D104" s="62">
        <f>D103+D93+D79+D65+D51+D38+D25+D14</f>
        <v>147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AC34A-E675-43CF-AEEB-C78C5383E417}">
  <dimension ref="A1:K17"/>
  <sheetViews>
    <sheetView tabSelected="1" workbookViewId="0">
      <selection activeCell="D25" sqref="D25"/>
    </sheetView>
  </sheetViews>
  <sheetFormatPr defaultRowHeight="15" x14ac:dyDescent="0.25"/>
  <cols>
    <col min="1" max="1" width="63.5703125" bestFit="1" customWidth="1"/>
    <col min="3" max="3" width="3.7109375" style="62" bestFit="1" customWidth="1"/>
    <col min="4" max="4" width="28.140625" style="3" bestFit="1" customWidth="1"/>
    <col min="5" max="5" width="26.140625" style="3" bestFit="1" customWidth="1"/>
    <col min="6" max="6" width="5" style="62" bestFit="1" customWidth="1"/>
    <col min="7" max="7" width="23.7109375" style="3" bestFit="1" customWidth="1"/>
    <col min="8" max="8" width="18.85546875" style="3" bestFit="1" customWidth="1"/>
    <col min="9" max="9" width="30" style="3" bestFit="1" customWidth="1"/>
    <col min="10" max="10" width="20.140625" style="62" bestFit="1" customWidth="1"/>
    <col min="11" max="11" width="32.7109375" style="3" bestFit="1" customWidth="1"/>
  </cols>
  <sheetData>
    <row r="1" spans="1:11" x14ac:dyDescent="0.25">
      <c r="A1" s="61" t="s">
        <v>324</v>
      </c>
      <c r="C1" s="105" t="s">
        <v>165</v>
      </c>
      <c r="D1" s="106" t="s">
        <v>326</v>
      </c>
      <c r="E1" s="106" t="s">
        <v>327</v>
      </c>
      <c r="F1" s="105" t="s">
        <v>213</v>
      </c>
      <c r="G1" s="106" t="s">
        <v>328</v>
      </c>
      <c r="H1" s="106" t="s">
        <v>329</v>
      </c>
      <c r="I1" s="106" t="s">
        <v>330</v>
      </c>
      <c r="J1" s="105" t="s">
        <v>331</v>
      </c>
      <c r="K1" s="106" t="s">
        <v>332</v>
      </c>
    </row>
    <row r="2" spans="1:11" x14ac:dyDescent="0.25">
      <c r="A2" s="61" t="s">
        <v>384</v>
      </c>
      <c r="C2" s="107">
        <v>1</v>
      </c>
      <c r="D2" s="108" t="s">
        <v>333</v>
      </c>
      <c r="E2" s="108" t="s">
        <v>334</v>
      </c>
      <c r="F2" s="107">
        <v>3</v>
      </c>
      <c r="G2" s="108" t="s">
        <v>335</v>
      </c>
      <c r="H2" s="108" t="s">
        <v>200</v>
      </c>
      <c r="I2" s="108" t="s">
        <v>336</v>
      </c>
      <c r="J2" s="107" t="s">
        <v>337</v>
      </c>
      <c r="K2" s="108" t="s">
        <v>338</v>
      </c>
    </row>
    <row r="3" spans="1:11" x14ac:dyDescent="0.25">
      <c r="A3" s="61" t="s">
        <v>325</v>
      </c>
      <c r="C3" s="107">
        <v>2</v>
      </c>
      <c r="D3" s="108" t="s">
        <v>333</v>
      </c>
      <c r="E3" s="108" t="s">
        <v>339</v>
      </c>
      <c r="F3" s="107">
        <v>3</v>
      </c>
      <c r="G3" s="108" t="s">
        <v>335</v>
      </c>
      <c r="H3" s="108" t="s">
        <v>200</v>
      </c>
      <c r="I3" s="108" t="s">
        <v>336</v>
      </c>
      <c r="J3" s="107" t="s">
        <v>340</v>
      </c>
      <c r="K3" s="108" t="s">
        <v>341</v>
      </c>
    </row>
    <row r="4" spans="1:11" x14ac:dyDescent="0.25">
      <c r="C4" s="107">
        <v>3</v>
      </c>
      <c r="D4" s="108" t="s">
        <v>155</v>
      </c>
      <c r="E4" s="108" t="s">
        <v>342</v>
      </c>
      <c r="F4" s="107">
        <v>3</v>
      </c>
      <c r="G4" s="108">
        <v>5</v>
      </c>
      <c r="H4" s="108" t="s">
        <v>154</v>
      </c>
      <c r="I4" s="108" t="s">
        <v>343</v>
      </c>
      <c r="J4" s="107" t="s">
        <v>344</v>
      </c>
      <c r="K4" s="108" t="s">
        <v>345</v>
      </c>
    </row>
    <row r="5" spans="1:11" x14ac:dyDescent="0.25">
      <c r="C5" s="107">
        <v>4</v>
      </c>
      <c r="D5" s="108" t="s">
        <v>155</v>
      </c>
      <c r="E5" s="108" t="s">
        <v>346</v>
      </c>
      <c r="F5" s="107">
        <v>3</v>
      </c>
      <c r="G5" s="108">
        <v>5</v>
      </c>
      <c r="H5" s="108" t="s">
        <v>200</v>
      </c>
      <c r="I5" s="108" t="s">
        <v>343</v>
      </c>
      <c r="J5" s="107" t="s">
        <v>344</v>
      </c>
      <c r="K5" s="108" t="s">
        <v>347</v>
      </c>
    </row>
    <row r="6" spans="1:11" x14ac:dyDescent="0.25">
      <c r="C6" s="107">
        <v>5</v>
      </c>
      <c r="D6" s="108" t="s">
        <v>348</v>
      </c>
      <c r="E6" s="108" t="s">
        <v>349</v>
      </c>
      <c r="F6" s="107">
        <v>3</v>
      </c>
      <c r="G6" s="108">
        <v>6</v>
      </c>
      <c r="H6" s="108" t="s">
        <v>152</v>
      </c>
      <c r="I6" s="108" t="s">
        <v>350</v>
      </c>
      <c r="J6" s="107" t="s">
        <v>344</v>
      </c>
      <c r="K6" s="108" t="s">
        <v>351</v>
      </c>
    </row>
    <row r="7" spans="1:11" x14ac:dyDescent="0.25">
      <c r="C7" s="107">
        <v>6</v>
      </c>
      <c r="D7" s="108" t="s">
        <v>352</v>
      </c>
      <c r="E7" s="108" t="s">
        <v>353</v>
      </c>
      <c r="F7" s="107">
        <v>3</v>
      </c>
      <c r="G7" s="108" t="s">
        <v>335</v>
      </c>
      <c r="H7" s="108" t="s">
        <v>200</v>
      </c>
      <c r="I7" s="108" t="s">
        <v>336</v>
      </c>
      <c r="J7" s="107" t="s">
        <v>344</v>
      </c>
      <c r="K7" s="108" t="s">
        <v>354</v>
      </c>
    </row>
    <row r="8" spans="1:11" x14ac:dyDescent="0.25">
      <c r="C8" s="107">
        <v>7</v>
      </c>
      <c r="D8" s="108" t="s">
        <v>352</v>
      </c>
      <c r="E8" s="108" t="s">
        <v>355</v>
      </c>
      <c r="F8" s="107">
        <v>3</v>
      </c>
      <c r="G8" s="108">
        <v>5</v>
      </c>
      <c r="H8" s="108" t="s">
        <v>200</v>
      </c>
      <c r="I8" s="108" t="s">
        <v>343</v>
      </c>
      <c r="J8" s="107" t="s">
        <v>340</v>
      </c>
      <c r="K8" s="108" t="s">
        <v>356</v>
      </c>
    </row>
    <row r="9" spans="1:11" x14ac:dyDescent="0.25">
      <c r="C9" s="107">
        <v>8</v>
      </c>
      <c r="D9" s="108" t="s">
        <v>357</v>
      </c>
      <c r="E9" s="108" t="s">
        <v>358</v>
      </c>
      <c r="F9" s="107">
        <v>3</v>
      </c>
      <c r="G9" s="108">
        <v>6</v>
      </c>
      <c r="H9" s="108" t="s">
        <v>200</v>
      </c>
      <c r="I9" s="108" t="s">
        <v>343</v>
      </c>
      <c r="J9" s="107" t="s">
        <v>344</v>
      </c>
      <c r="K9" s="108" t="s">
        <v>359</v>
      </c>
    </row>
    <row r="10" spans="1:11" x14ac:dyDescent="0.25">
      <c r="C10" s="107">
        <v>9</v>
      </c>
      <c r="D10" s="108" t="s">
        <v>360</v>
      </c>
      <c r="E10" s="108" t="s">
        <v>361</v>
      </c>
      <c r="F10" s="107">
        <v>3</v>
      </c>
      <c r="G10" s="108" t="s">
        <v>362</v>
      </c>
      <c r="H10" s="108" t="s">
        <v>200</v>
      </c>
      <c r="I10" s="108" t="s">
        <v>343</v>
      </c>
      <c r="J10" s="107" t="s">
        <v>363</v>
      </c>
      <c r="K10" s="108" t="s">
        <v>364</v>
      </c>
    </row>
    <row r="11" spans="1:11" x14ac:dyDescent="0.25">
      <c r="C11" s="107">
        <v>10</v>
      </c>
      <c r="D11" s="108" t="s">
        <v>360</v>
      </c>
      <c r="E11" s="108" t="s">
        <v>365</v>
      </c>
      <c r="F11" s="107">
        <v>3</v>
      </c>
      <c r="G11" s="108">
        <v>6</v>
      </c>
      <c r="H11" s="108" t="s">
        <v>200</v>
      </c>
      <c r="I11" s="108" t="s">
        <v>343</v>
      </c>
      <c r="J11" s="107" t="s">
        <v>337</v>
      </c>
      <c r="K11" s="108" t="s">
        <v>366</v>
      </c>
    </row>
    <row r="12" spans="1:11" x14ac:dyDescent="0.25">
      <c r="C12" s="107">
        <v>11</v>
      </c>
      <c r="D12" s="108" t="s">
        <v>367</v>
      </c>
      <c r="E12" s="108" t="s">
        <v>368</v>
      </c>
      <c r="F12" s="107">
        <v>3</v>
      </c>
      <c r="G12" s="108" t="s">
        <v>362</v>
      </c>
      <c r="H12" s="108" t="s">
        <v>200</v>
      </c>
      <c r="I12" s="108" t="s">
        <v>343</v>
      </c>
      <c r="J12" s="107" t="s">
        <v>340</v>
      </c>
      <c r="K12" s="108" t="s">
        <v>369</v>
      </c>
    </row>
    <row r="13" spans="1:11" x14ac:dyDescent="0.25">
      <c r="C13" s="107">
        <v>12</v>
      </c>
      <c r="D13" s="108" t="s">
        <v>367</v>
      </c>
      <c r="E13" s="108" t="s">
        <v>135</v>
      </c>
      <c r="F13" s="107">
        <v>3</v>
      </c>
      <c r="G13" s="108">
        <v>5</v>
      </c>
      <c r="H13" s="108" t="s">
        <v>200</v>
      </c>
      <c r="I13" s="108" t="s">
        <v>343</v>
      </c>
      <c r="J13" s="107" t="s">
        <v>340</v>
      </c>
      <c r="K13" s="108" t="s">
        <v>370</v>
      </c>
    </row>
    <row r="14" spans="1:11" x14ac:dyDescent="0.25">
      <c r="C14" s="107">
        <v>13</v>
      </c>
      <c r="D14" s="108" t="s">
        <v>371</v>
      </c>
      <c r="E14" s="108" t="s">
        <v>372</v>
      </c>
      <c r="F14" s="107">
        <v>3</v>
      </c>
      <c r="G14" s="108">
        <v>6</v>
      </c>
      <c r="H14" s="108" t="s">
        <v>200</v>
      </c>
      <c r="I14" s="108" t="s">
        <v>373</v>
      </c>
      <c r="J14" s="107" t="s">
        <v>337</v>
      </c>
      <c r="K14" s="108" t="s">
        <v>374</v>
      </c>
    </row>
    <row r="15" spans="1:11" x14ac:dyDescent="0.25">
      <c r="C15" s="107">
        <v>14</v>
      </c>
      <c r="D15" s="108" t="s">
        <v>371</v>
      </c>
      <c r="E15" s="108" t="s">
        <v>201</v>
      </c>
      <c r="F15" s="107">
        <v>3</v>
      </c>
      <c r="G15" s="108" t="s">
        <v>375</v>
      </c>
      <c r="H15" s="108" t="s">
        <v>200</v>
      </c>
      <c r="I15" s="108" t="s">
        <v>376</v>
      </c>
      <c r="J15" s="107" t="s">
        <v>344</v>
      </c>
      <c r="K15" s="108" t="s">
        <v>377</v>
      </c>
    </row>
    <row r="16" spans="1:11" x14ac:dyDescent="0.25">
      <c r="C16" s="107">
        <v>15</v>
      </c>
      <c r="D16" s="108" t="s">
        <v>378</v>
      </c>
      <c r="E16" s="108" t="s">
        <v>379</v>
      </c>
      <c r="F16" s="107">
        <v>3</v>
      </c>
      <c r="G16" s="108">
        <v>6</v>
      </c>
      <c r="H16" s="108" t="s">
        <v>200</v>
      </c>
      <c r="I16" s="108" t="s">
        <v>380</v>
      </c>
      <c r="J16" s="107" t="s">
        <v>344</v>
      </c>
      <c r="K16" s="108" t="s">
        <v>381</v>
      </c>
    </row>
    <row r="17" spans="3:11" x14ac:dyDescent="0.25">
      <c r="C17" s="107">
        <v>16</v>
      </c>
      <c r="D17" s="108" t="s">
        <v>378</v>
      </c>
      <c r="E17" s="108" t="s">
        <v>382</v>
      </c>
      <c r="F17" s="107">
        <v>3</v>
      </c>
      <c r="G17" s="108" t="s">
        <v>375</v>
      </c>
      <c r="H17" s="108" t="s">
        <v>200</v>
      </c>
      <c r="I17" s="108" t="s">
        <v>343</v>
      </c>
      <c r="J17" s="107" t="s">
        <v>344</v>
      </c>
      <c r="K17" s="108" t="s">
        <v>383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Matrik Stakeholder</vt:lpstr>
      <vt:lpstr>MK Lama</vt:lpstr>
      <vt:lpstr>BK</vt:lpstr>
      <vt:lpstr>CPL BK</vt:lpstr>
      <vt:lpstr>Usulan MK</vt:lpstr>
      <vt:lpstr>Skoring BK</vt:lpstr>
      <vt:lpstr>Monitor</vt:lpstr>
      <vt:lpstr>BK-MK</vt:lpstr>
      <vt:lpstr>Kalkulator SKS</vt:lpstr>
      <vt:lpstr>MK draft</vt:lpstr>
      <vt:lpstr>Dist SMT</vt:lpstr>
      <vt:lpstr>MK INBOUND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YUHKA SUNDAYA, S.E., M.SI. D010354</dc:creator>
  <cp:lastModifiedBy>YUHKA SUNDAYA, S.E., M.SI. D010354</cp:lastModifiedBy>
  <dcterms:created xsi:type="dcterms:W3CDTF">2026-04-17T02:50:30Z</dcterms:created>
  <dcterms:modified xsi:type="dcterms:W3CDTF">2026-04-26T10:54:04Z</dcterms:modified>
</cp:coreProperties>
</file>